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E6EC5CBE-043F-43E3-8E2E-F7EC0C2BF45C}" xr6:coauthVersionLast="47" xr6:coauthVersionMax="47" xr10:uidLastSave="{00000000-0000-0000-0000-000000000000}"/>
  <bookViews>
    <workbookView xWindow="-108" yWindow="-108" windowWidth="23256" windowHeight="12456" xr2:uid="{9361BF44-9900-48FA-B360-39084C2F8C8A}"/>
  </bookViews>
  <sheets>
    <sheet name="pivot T" sheetId="1" r:id="rId1"/>
    <sheet name="Data" sheetId="3" r:id="rId2"/>
    <sheet name="pivot result table" sheetId="4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<sst xmlns="http://schemas.openxmlformats.org/spreadsheetml/2006/main" count="293" uniqueCount="121">
  <si>
    <r>
      <rPr>
        <b/>
        <sz val="11"/>
        <color theme="1"/>
        <rFont val="Calibri"/>
        <family val="2"/>
        <scheme val="minor"/>
      </rPr>
      <t>Pivot Table:</t>
    </r>
    <r>
      <rPr>
        <sz val="11"/>
        <color theme="1"/>
        <rFont val="Calibri"/>
        <family val="2"/>
        <scheme val="minor"/>
      </rPr>
      <t xml:space="preserve"> used to summarize, analyze, explore, and present large sets of data.</t>
    </r>
  </si>
  <si>
    <t>It allows users to quickly rearrange data to see different summaries and comparisons — like totals, averages, counts — without changing the original dataset.</t>
  </si>
  <si>
    <t>Basic Rules:</t>
  </si>
  <si>
    <t>1. Well-structured data: Your data should be in a tabular format, with no blank columns or rows and clear headers.</t>
  </si>
  <si>
    <t>2. Each column should contain the same type of data (e.g. dates, numbers, text).</t>
  </si>
  <si>
    <t>3. The data should ideally be in a flat format, not nested or hierarchical.</t>
  </si>
  <si>
    <t>Limitations:</t>
  </si>
  <si>
    <t>1. Source Data Size: Very large datasets can make pivot tables slow to refresh or crash Excel.</t>
  </si>
  <si>
    <t>2. Real-Time Updates: Pivot tables do not auto-refresh</t>
  </si>
  <si>
    <t>Steps to Add Pivot Table:</t>
  </si>
  <si>
    <t>1. Select data</t>
  </si>
  <si>
    <r>
      <t xml:space="preserve">2. Click on </t>
    </r>
    <r>
      <rPr>
        <b/>
        <sz val="11"/>
        <color theme="1"/>
        <rFont val="Calibri"/>
        <family val="2"/>
        <scheme val="minor"/>
      </rPr>
      <t>"Insert"</t>
    </r>
    <r>
      <rPr>
        <sz val="11"/>
        <color theme="1"/>
        <rFont val="Calibri"/>
        <family val="2"/>
        <scheme val="minor"/>
      </rPr>
      <t xml:space="preserve"> Tab ==&gt; Click on Pivot table dropdown ==&gt; Select</t>
    </r>
    <r>
      <rPr>
        <b/>
        <sz val="11"/>
        <color theme="1"/>
        <rFont val="Calibri"/>
        <family val="2"/>
        <scheme val="minor"/>
      </rPr>
      <t xml:space="preserve"> "From Table/Range"</t>
    </r>
  </si>
  <si>
    <t>2. Step 2 shortcut ==&gt; Alt+N+V+T</t>
  </si>
  <si>
    <t>3. Confirm Table Range ==&gt; Select Pivot table Location as per your choice ==&gt; Click on "OK"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</si>
  <si>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</si>
  <si>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</si>
  <si>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</si>
  <si>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</si>
  <si>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</si>
  <si>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</si>
  <si>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</si>
  <si>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2,7"</t>
  </si>
  <si>
    <t>3,0x</t>
  </si>
  <si>
    <t>2,5"</t>
  </si>
  <si>
    <t>3x</t>
  </si>
  <si>
    <t>5,0x</t>
  </si>
  <si>
    <t>18x</t>
  </si>
  <si>
    <t>3,0"</t>
  </si>
  <si>
    <t>7,1x</t>
  </si>
  <si>
    <t>3,5"</t>
  </si>
  <si>
    <t>2,8"</t>
  </si>
  <si>
    <t>15,0x</t>
  </si>
  <si>
    <t>4,0x</t>
  </si>
  <si>
    <t>4x</t>
  </si>
  <si>
    <t>20,0x</t>
  </si>
  <si>
    <t>12x</t>
  </si>
  <si>
    <t>3,8x</t>
  </si>
  <si>
    <t>5x</t>
  </si>
  <si>
    <t>10,7x</t>
  </si>
  <si>
    <t>3,6x</t>
  </si>
  <si>
    <t>7,0x</t>
  </si>
  <si>
    <t>10,0x</t>
  </si>
  <si>
    <t>3,2x</t>
  </si>
  <si>
    <t>10x</t>
  </si>
  <si>
    <t>26x</t>
  </si>
  <si>
    <t>15x</t>
  </si>
  <si>
    <t>2,4"</t>
  </si>
  <si>
    <t>Brand</t>
  </si>
  <si>
    <t>Country sales</t>
  </si>
  <si>
    <t>Model</t>
  </si>
  <si>
    <t>Samsung</t>
  </si>
  <si>
    <t>South Korea</t>
  </si>
  <si>
    <t>PL100</t>
  </si>
  <si>
    <t>Canon</t>
  </si>
  <si>
    <t>Japan</t>
  </si>
  <si>
    <t>IXUS 100</t>
  </si>
  <si>
    <t>Sony</t>
  </si>
  <si>
    <t>DSC-W380 Cyber-Shot</t>
  </si>
  <si>
    <t>Fuji</t>
  </si>
  <si>
    <t>FinePix JV150</t>
  </si>
  <si>
    <t>Panasonic</t>
  </si>
  <si>
    <t>USA</t>
  </si>
  <si>
    <t>Lumix DMC-FZ35</t>
  </si>
  <si>
    <t>Ricoh</t>
  </si>
  <si>
    <t>R10</t>
  </si>
  <si>
    <t>Canada</t>
  </si>
  <si>
    <t>IXUS 210</t>
  </si>
  <si>
    <t>Lumix DMC-FX65</t>
  </si>
  <si>
    <t>Mexico</t>
  </si>
  <si>
    <t>DSC-WX5 CyberShot</t>
  </si>
  <si>
    <t>FinePix F300EXR</t>
  </si>
  <si>
    <t>Sanyo</t>
  </si>
  <si>
    <t>VPC-X1200</t>
  </si>
  <si>
    <t>FinePix S2550</t>
  </si>
  <si>
    <t>FinePix J30</t>
  </si>
  <si>
    <t>Casio</t>
  </si>
  <si>
    <t>Exilim EX-Z800</t>
  </si>
  <si>
    <t>Olympus</t>
  </si>
  <si>
    <t>FE-4030</t>
  </si>
  <si>
    <t>Pentax</t>
  </si>
  <si>
    <t>Optio WS80</t>
  </si>
  <si>
    <t>PowerShot A3100 IS</t>
  </si>
  <si>
    <t>DSC-HX1 Cyber-Shot</t>
  </si>
  <si>
    <t>FinePix AX200</t>
  </si>
  <si>
    <t>PowerShot SX130 IS</t>
  </si>
  <si>
    <t>Powershot D10</t>
  </si>
  <si>
    <t>ST600</t>
  </si>
  <si>
    <t>IXUS 300 HS</t>
  </si>
  <si>
    <t xml:space="preserve">Mju 6010 </t>
  </si>
  <si>
    <t>PowerShot SD1200 IS</t>
  </si>
  <si>
    <t>Exilim EX-Z400</t>
  </si>
  <si>
    <t>FinePix Z70</t>
  </si>
  <si>
    <t>WB650</t>
  </si>
  <si>
    <t>Optio H90</t>
  </si>
  <si>
    <t>Nikon</t>
  </si>
  <si>
    <t>Coolpix P7000</t>
  </si>
  <si>
    <t>FinePix J40</t>
  </si>
  <si>
    <t>CX2</t>
  </si>
  <si>
    <t>Coolpix L22</t>
  </si>
  <si>
    <t>Coolpix S6000</t>
  </si>
  <si>
    <t>Coolpix S570</t>
  </si>
  <si>
    <t>Mju 9010</t>
  </si>
  <si>
    <t>Coolpix S1100pj</t>
  </si>
  <si>
    <t>Lumix DMC-G10</t>
  </si>
  <si>
    <t>IXUS 1000 HS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</si>
  <si>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</si>
  <si>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</si>
  <si>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</si>
  <si>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</si>
  <si>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</si>
  <si>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</si>
  <si>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</si>
  <si>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Exilim EX-Z35</t>
  </si>
  <si>
    <t>VPC-S600</t>
  </si>
  <si>
    <t>Row Labels</t>
  </si>
  <si>
    <t>Grand Total</t>
  </si>
  <si>
    <t>Sum of Weight (g)</t>
  </si>
  <si>
    <t>Sum of Quantity</t>
  </si>
  <si>
    <t>Average of Quantity</t>
  </si>
  <si>
    <t>Average of Weight (g)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</si>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</sst>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29.375270486111" createdVersion="8" refreshedVersion="8" minRefreshableVersion="3" recordCount="50" xr:uid="{D0C54E6F-E41D-40C7-960C-E569127539AA}">
  <cacheSource type="worksheet">
    <worksheetSource ref="A1:J51" sheet="Data"/>
  </cacheSource>
  <cacheFields count="10">
    <cacheField name="Brand" numFmtId="0">
      <sharedItems count="11">
        <s v="Samsung"/>
        <s v="Canon"/>
        <s v="Sony"/>
        <s v="Fuji"/>
        <s v="Panasonic"/>
        <s v="Ricoh"/>
        <s v="Sanyo"/>
        <s v="Casio"/>
        <s v="Olympus"/>
        <s v="Pentax"/>
        <s v="Nikon"/>
      </sharedItems>
    </cacheField>
    <cacheField name="Country sales" numFmtId="0">
      <sharedItems count="5">
        <s v="South Korea"/>
        <s v="Japan"/>
        <s v="USA"/>
        <s v="Canada"/>
        <s v="Mexico"/>
      </sharedItems>
    </cacheField>
    <cacheField name="Model" numFmtId="0">
      <sharedItems/>
    </cacheField>
    <cacheField name="Megapixels" numFmtId="0">
      <sharedItems containsSemiMixedTypes="0" containsString="0" containsNumber="1" minValue="6" maxValue="14.2"/>
    </cacheField>
    <cacheField name="LCD Monitor" numFmtId="0">
      <sharedItems/>
    </cacheField>
    <cacheField name="Optical Zoom" numFmtId="0">
      <sharedItems/>
    </cacheField>
    <cacheField name="Weight (g)" numFmtId="0">
      <sharedItems containsSemiMixedTypes="0" containsString="0" containsNumber="1" containsInteger="1" minValue="105" maxValue="481"/>
    </cacheField>
    <cacheField name="List Price ($)" numFmtId="0">
      <sharedItems containsSemiMixedTypes="0" containsString="0" containsNumber="1" minValue="69.150000000000006" maxValue="523.19000000000005"/>
    </cacheField>
    <cacheField name="Acquisition Cost ($)" numFmtId="0">
      <sharedItems containsSemiMixedTypes="0" containsString="0" containsNumber="1" minValue="56.6" maxValue="413.32"/>
    </cacheField>
    <cacheField name="Quantity" numFmtId="0">
      <sharedItems containsSemiMixedTypes="0" containsString="0" containsNumber="1" containsInteger="1" minValue="15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s v="PL100"/>
    <n v="12.2"/>
    <s v="2,7&quot;"/>
    <s v="3,0x"/>
    <n v="111"/>
    <n v="95.66"/>
    <n v="77.48"/>
    <n v="10000"/>
  </r>
  <r>
    <x v="1"/>
    <x v="1"/>
    <s v="IXUS 100"/>
    <n v="12.1"/>
    <s v="2,5&quot;"/>
    <s v="3x"/>
    <n v="115"/>
    <n v="145.30000000000001"/>
    <n v="117.69"/>
    <n v="69"/>
  </r>
  <r>
    <x v="2"/>
    <x v="1"/>
    <s v="DSC-W380 Cyber-Shot"/>
    <n v="14.1"/>
    <s v="2,7&quot;"/>
    <s v="5,0x"/>
    <n v="108"/>
    <n v="159.83000000000001"/>
    <n v="124.67"/>
    <n v="37"/>
  </r>
  <r>
    <x v="3"/>
    <x v="1"/>
    <s v="FinePix JV150"/>
    <n v="14"/>
    <s v="2,7&quot;"/>
    <s v="3,0x"/>
    <n v="106"/>
    <n v="76.37"/>
    <n v="66.44"/>
    <n v="53"/>
  </r>
  <r>
    <x v="4"/>
    <x v="2"/>
    <s v="Lumix DMC-FZ35"/>
    <n v="12.1"/>
    <s v="2,7&quot;"/>
    <s v="18x"/>
    <n v="367"/>
    <n v="254.26"/>
    <n v="221.21"/>
    <n v="52"/>
  </r>
  <r>
    <x v="5"/>
    <x v="2"/>
    <s v="R10"/>
    <n v="10"/>
    <s v="3,0&quot;"/>
    <s v="7,1x"/>
    <n v="168"/>
    <n v="121.1"/>
    <n v="94.46"/>
    <n v="66"/>
  </r>
  <r>
    <x v="1"/>
    <x v="3"/>
    <s v="IXUS 210"/>
    <n v="14.1"/>
    <s v="3,5&quot;"/>
    <s v="5,0x"/>
    <n v="137"/>
    <n v="240.53"/>
    <n v="214.07"/>
    <n v="32"/>
  </r>
  <r>
    <x v="4"/>
    <x v="1"/>
    <s v="Lumix DMC-FX65"/>
    <n v="12.1"/>
    <s v="2,7&quot;"/>
    <s v="5,0x"/>
    <n v="126"/>
    <n v="138.01"/>
    <n v="107.65"/>
    <n v="37"/>
  </r>
  <r>
    <x v="2"/>
    <x v="4"/>
    <s v="DSC-WX5 CyberShot"/>
    <n v="12.2"/>
    <s v="2,8&quot;"/>
    <s v="5,0x"/>
    <n v="130"/>
    <n v="227.75"/>
    <n v="179.92"/>
    <n v="54"/>
  </r>
  <r>
    <x v="3"/>
    <x v="1"/>
    <s v="FinePix F300EXR"/>
    <n v="12"/>
    <s v="3,0&quot;"/>
    <s v="15,0x"/>
    <n v="195"/>
    <n v="203.4"/>
    <n v="142.38"/>
    <n v="44"/>
  </r>
  <r>
    <x v="6"/>
    <x v="0"/>
    <s v="VPC-X1200"/>
    <n v="12.1"/>
    <s v="2,7&quot;"/>
    <s v="3,0x"/>
    <n v="115"/>
    <n v="87.21"/>
    <n v="75.87"/>
    <n v="17"/>
  </r>
  <r>
    <x v="3"/>
    <x v="4"/>
    <s v="FinePix S2550"/>
    <n v="12"/>
    <s v="3,0&quot;"/>
    <s v="18x"/>
    <n v="341"/>
    <n v="168.28"/>
    <n v="121.16"/>
    <n v="17"/>
  </r>
  <r>
    <x v="3"/>
    <x v="2"/>
    <s v="FinePix J30"/>
    <n v="12.2"/>
    <s v="2,7&quot;"/>
    <s v="3,0x"/>
    <n v="113"/>
    <n v="73.27"/>
    <n v="63.74"/>
    <n v="37"/>
  </r>
  <r>
    <x v="7"/>
    <x v="2"/>
    <s v="Exilim EX-Z800"/>
    <n v="14.1"/>
    <s v="3,0&quot;"/>
    <s v="4,0x"/>
    <n v="124"/>
    <n v="107.15"/>
    <n v="76.08"/>
    <n v="51"/>
  </r>
  <r>
    <x v="8"/>
    <x v="2"/>
    <s v="FE-4030"/>
    <n v="14"/>
    <s v="2,7&quot;"/>
    <s v="4,0x"/>
    <n v="116"/>
    <n v="157.59"/>
    <n v="138.68"/>
    <n v="43"/>
  </r>
  <r>
    <x v="9"/>
    <x v="3"/>
    <s v="Optio WS80"/>
    <n v="10"/>
    <s v="2,7&quot;"/>
    <s v="5,0x"/>
    <n v="105"/>
    <n v="108.96"/>
    <n v="91.53"/>
    <n v="37"/>
  </r>
  <r>
    <x v="1"/>
    <x v="1"/>
    <s v="PowerShot A3100 IS"/>
    <n v="12.1"/>
    <s v="2,7&quot;"/>
    <s v="4x"/>
    <n v="136"/>
    <n v="147.33000000000001"/>
    <n v="116.39"/>
    <n v="61"/>
  </r>
  <r>
    <x v="2"/>
    <x v="1"/>
    <s v="DSC-HX1 Cyber-Shot"/>
    <n v="9.1"/>
    <s v="3,0&quot;"/>
    <s v="20,0x"/>
    <n v="453"/>
    <n v="305.27"/>
    <n v="225.9"/>
    <n v="46"/>
  </r>
  <r>
    <x v="3"/>
    <x v="1"/>
    <s v="FinePix AX200"/>
    <n v="12.2"/>
    <s v="2,7&quot;"/>
    <s v="5,0x"/>
    <n v="195"/>
    <n v="84.75"/>
    <n v="60.17"/>
    <n v="42"/>
  </r>
  <r>
    <x v="1"/>
    <x v="0"/>
    <s v="PowerShot SX130 IS"/>
    <n v="10.1"/>
    <s v="3,0&quot;"/>
    <s v="12x"/>
    <n v="260"/>
    <n v="168.42"/>
    <n v="151.58000000000001"/>
    <n v="27"/>
  </r>
  <r>
    <x v="1"/>
    <x v="0"/>
    <s v="Powershot D10"/>
    <n v="12.1"/>
    <s v="2,5&quot;"/>
    <s v="3x"/>
    <n v="140"/>
    <n v="268.5"/>
    <n v="222.86"/>
    <n v="54"/>
  </r>
  <r>
    <x v="0"/>
    <x v="4"/>
    <s v="ST600"/>
    <n v="14.2"/>
    <s v="3,5&quot;"/>
    <s v="5,0x"/>
    <n v="147"/>
    <n v="176.88"/>
    <n v="132.66"/>
    <n v="39"/>
  </r>
  <r>
    <x v="1"/>
    <x v="4"/>
    <s v="IXUS 300 HS"/>
    <n v="10"/>
    <s v="3,0&quot;"/>
    <s v="3,8x"/>
    <n v="150"/>
    <n v="259.18"/>
    <n v="220.3"/>
    <n v="64"/>
  </r>
  <r>
    <x v="8"/>
    <x v="2"/>
    <s v="Mju 6010 "/>
    <n v="12"/>
    <s v="2,7&quot;"/>
    <s v="5,0x"/>
    <n v="150"/>
    <n v="149.57"/>
    <n v="121.15"/>
    <n v="56"/>
  </r>
  <r>
    <x v="1"/>
    <x v="0"/>
    <s v="PowerShot SD1200 IS"/>
    <n v="10"/>
    <s v="2,5&quot;"/>
    <s v="4,0x"/>
    <n v="120"/>
    <n v="101.73"/>
    <n v="90.54"/>
    <n v="54"/>
  </r>
  <r>
    <x v="7"/>
    <x v="1"/>
    <s v="Exilim EX-Z400"/>
    <n v="12.1"/>
    <s v="3,0&quot;"/>
    <s v="4,0x"/>
    <n v="131"/>
    <n v="150.29"/>
    <n v="117.23"/>
    <n v="61"/>
  </r>
  <r>
    <x v="3"/>
    <x v="1"/>
    <s v="FinePix Z70"/>
    <n v="12.2"/>
    <s v="2,7&quot;"/>
    <s v="5x"/>
    <n v="124"/>
    <n v="69.150000000000006"/>
    <n v="62.24"/>
    <n v="42"/>
  </r>
  <r>
    <x v="0"/>
    <x v="1"/>
    <s v="WB650"/>
    <n v="12.2"/>
    <s v="3,5&quot;"/>
    <s v="15,0x"/>
    <n v="214"/>
    <n v="250.79"/>
    <n v="198.12"/>
    <n v="52"/>
  </r>
  <r>
    <x v="9"/>
    <x v="2"/>
    <s v="Optio H90"/>
    <n v="12.1"/>
    <s v="2,7&quot;"/>
    <s v="5,0x"/>
    <n v="153"/>
    <n v="102.89"/>
    <n v="88.49"/>
    <n v="50"/>
  </r>
  <r>
    <x v="10"/>
    <x v="2"/>
    <s v="Coolpix P7000"/>
    <n v="10.1"/>
    <s v="3,0&quot;"/>
    <s v="7,1x"/>
    <n v="120"/>
    <n v="365.75"/>
    <n v="274.31"/>
    <n v="50"/>
  </r>
  <r>
    <x v="3"/>
    <x v="3"/>
    <s v="FinePix J40"/>
    <n v="12.2"/>
    <s v="3,0&quot;"/>
    <s v="3,0x"/>
    <n v="113"/>
    <n v="73.27"/>
    <n v="65.94"/>
    <n v="71"/>
  </r>
  <r>
    <x v="5"/>
    <x v="1"/>
    <s v="CX2"/>
    <n v="9.2899999999999991"/>
    <s v="3,0&quot;"/>
    <s v="10,7x"/>
    <n v="185"/>
    <n v="192.63"/>
    <n v="154.1"/>
    <n v="51"/>
  </r>
  <r>
    <x v="10"/>
    <x v="4"/>
    <s v="Coolpix L22"/>
    <n v="12"/>
    <s v="3,0&quot;"/>
    <s v="3,6x"/>
    <n v="183"/>
    <n v="100"/>
    <n v="59.7"/>
    <n v="43"/>
  </r>
  <r>
    <x v="10"/>
    <x v="1"/>
    <s v="Coolpix S6000"/>
    <n v="14.2"/>
    <s v="2,7&quot;"/>
    <s v="7,0x"/>
    <n v="156"/>
    <n v="249.86"/>
    <n v="182.4"/>
    <n v="15"/>
  </r>
  <r>
    <x v="10"/>
    <x v="0"/>
    <s v="Coolpix S570"/>
    <n v="12"/>
    <s v="2,7&quot;"/>
    <s v="5,0x"/>
    <n v="360"/>
    <n v="98.77"/>
    <n v="75.069999999999993"/>
    <n v="69"/>
  </r>
  <r>
    <x v="8"/>
    <x v="4"/>
    <s v="Mju 9010"/>
    <n v="14"/>
    <s v="2,7&quot;"/>
    <s v="10,0x"/>
    <n v="171"/>
    <n v="266.39999999999998"/>
    <n v="229.1"/>
    <n v="37"/>
  </r>
  <r>
    <x v="10"/>
    <x v="2"/>
    <s v="Coolpix S1100pj"/>
    <n v="14.1"/>
    <s v="3,0&quot;"/>
    <s v="5,0x"/>
    <n v="155"/>
    <n v="268.5"/>
    <n v="196.01"/>
    <n v="53"/>
  </r>
  <r>
    <x v="4"/>
    <x v="2"/>
    <s v="Lumix DMC-G10"/>
    <n v="12.1"/>
    <s v="3,0&quot;"/>
    <s v="3,2x"/>
    <n v="336"/>
    <n v="523.19000000000005"/>
    <n v="413.32"/>
    <n v="52"/>
  </r>
  <r>
    <x v="1"/>
    <x v="2"/>
    <s v="IXUS 1000 HS"/>
    <n v="10"/>
    <s v="3,0&quot;"/>
    <s v="10x"/>
    <n v="167"/>
    <n v="271.32"/>
    <n v="211.63"/>
    <n v="66"/>
  </r>
  <r>
    <x v="7"/>
    <x v="3"/>
    <s v="Exilim EX-Z800"/>
    <n v="14.1"/>
    <s v="3,0&quot;"/>
    <s v="4x"/>
    <n v="124"/>
    <n v="107.15"/>
    <n v="81.430000000000007"/>
    <n v="32"/>
  </r>
  <r>
    <x v="3"/>
    <x v="1"/>
    <s v="FinePix F70EXR"/>
    <n v="10"/>
    <s v="2,7&quot;"/>
    <s v="10,0x"/>
    <n v="180"/>
    <n v="132.01"/>
    <n v="116.17"/>
    <n v="37"/>
  </r>
  <r>
    <x v="2"/>
    <x v="1"/>
    <s v="DSC-H55 Cyber-Shot"/>
    <n v="14.1"/>
    <s v="3,0&quot;"/>
    <s v="10x"/>
    <n v="170"/>
    <n v="169.65"/>
    <n v="144.19999999999999"/>
    <n v="54"/>
  </r>
  <r>
    <x v="3"/>
    <x v="1"/>
    <s v="FinePix F80EXR"/>
    <n v="12"/>
    <s v="3,0&quot;"/>
    <s v="10,0x"/>
    <n v="183"/>
    <n v="147.69"/>
    <n v="104.86"/>
    <n v="44"/>
  </r>
  <r>
    <x v="3"/>
    <x v="0"/>
    <s v="FinePix JV100"/>
    <n v="12.2"/>
    <s v="2,7&quot;"/>
    <s v="3,0x"/>
    <n v="106"/>
    <n v="70.88"/>
    <n v="57.41"/>
    <n v="17"/>
  </r>
  <r>
    <x v="1"/>
    <x v="0"/>
    <s v="PowerShot SD1300 IS"/>
    <n v="12.1"/>
    <s v="2,7&quot;"/>
    <s v="4,0x"/>
    <n v="140"/>
    <n v="111.49"/>
    <n v="88.08"/>
    <n v="17"/>
  </r>
  <r>
    <x v="9"/>
    <x v="4"/>
    <s v="Optio I10"/>
    <n v="12.1"/>
    <s v="2,7&quot;"/>
    <s v="5,0x"/>
    <n v="132"/>
    <n v="84.75"/>
    <n v="68.650000000000006"/>
    <n v="37"/>
  </r>
  <r>
    <x v="10"/>
    <x v="4"/>
    <s v="Coolpix P100"/>
    <n v="10.3"/>
    <s v="3,0&quot;"/>
    <s v="26x"/>
    <n v="481"/>
    <n v="370.3"/>
    <n v="274.02"/>
    <n v="51"/>
  </r>
  <r>
    <x v="7"/>
    <x v="2"/>
    <s v="Exilim EX-Z35"/>
    <n v="12.1"/>
    <s v="2,5&quot;"/>
    <s v="3x"/>
    <n v="125"/>
    <n v="71.39"/>
    <n v="62.82"/>
    <n v="43"/>
  </r>
  <r>
    <x v="3"/>
    <x v="4"/>
    <s v="FinePix F300EXR"/>
    <n v="12"/>
    <s v="3,0&quot;"/>
    <s v="15x"/>
    <n v="195"/>
    <n v="300"/>
    <n v="183.06"/>
    <n v="37"/>
  </r>
  <r>
    <x v="6"/>
    <x v="0"/>
    <s v="VPC-S600"/>
    <n v="6"/>
    <s v="2,4&quot;"/>
    <s v="3,0x"/>
    <n v="130"/>
    <n v="77.53"/>
    <n v="56.6"/>
    <n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C8038-7768-4E9C-90A1-41017B92792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G16" firstHeaderRow="0" firstDataRow="1" firstDataCol="1" rowPageCount="1" colPageCount="1"/>
  <pivotFields count="10">
    <pivotField axis="axisRow" showAll="0">
      <items count="12">
        <item x="1"/>
        <item x="7"/>
        <item x="3"/>
        <item x="10"/>
        <item x="8"/>
        <item x="4"/>
        <item x="9"/>
        <item x="5"/>
        <item x="0"/>
        <item x="6"/>
        <item x="2"/>
        <item t="default"/>
      </items>
    </pivotField>
    <pivotField axis="axisPage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Average of Weight (g)" fld="6" subtotal="average" baseField="0" baseItem="0"/>
    <dataField name="Sum of Weight (g)" fld="6" baseField="0" baseItem="0"/>
    <dataField name="Sum of Quantity" fld="9" baseField="0" baseItem="0"/>
    <dataField name="Average of Quantit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634B-D141-4E0B-9CBC-2217773A6DFD}">
  <dimension ref="A1:A17"/>
  <sheetViews>
    <sheetView tabSelected="1" workbookViewId="0">
      <selection activeCell="F13" sqref="F13"/>
    </sheetView>
  </sheetViews>
  <sheetFormatPr defaultRowHeight="14.4" x14ac:dyDescent="0.3"/>
  <cols>
    <col min="1" max="1" width="131.1093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4" spans="1:1" x14ac:dyDescent="0.3">
      <c r="A4" s="2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9" spans="1:1" x14ac:dyDescent="0.3">
      <c r="A9" s="2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3" spans="1:1" x14ac:dyDescent="0.3">
      <c r="A13" s="2" t="s">
        <v>9</v>
      </c>
    </row>
    <row r="14" spans="1:1" x14ac:dyDescent="0.3">
      <c r="A14" s="1" t="s">
        <v>10</v>
      </c>
    </row>
    <row r="15" spans="1:1" x14ac:dyDescent="0.3">
      <c r="A15" s="1" t="s">
        <v>11</v>
      </c>
    </row>
    <row r="16" spans="1:1" x14ac:dyDescent="0.3">
      <c r="A16" s="1" t="s">
        <v>12</v>
      </c>
    </row>
    <row r="17" spans="1:1" x14ac:dyDescent="0.3">
      <c r="A1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2C37-06A1-406F-AA5C-F4AF7E1DEAA6}">
  <dimension ref="A1:J51"/>
  <sheetViews>
    <sheetView zoomScale="85" zoomScaleNormal="85" workbookViewId="0">
      <selection sqref="A1:J51"/>
    </sheetView>
  </sheetViews>
  <sheetFormatPr defaultColWidth="16.77734375" defaultRowHeight="14.4" x14ac:dyDescent="0.3"/>
  <sheetData>
    <row r="1" spans="1:10" ht="62.4" x14ac:dyDescent="0.3">
      <c r="A1" s="9" t="s">
        <v>47</v>
      </c>
      <c r="B1" s="9" t="s">
        <v>48</v>
      </c>
      <c r="C1" s="9" t="s">
        <v>49</v>
      </c>
      <c r="D1" s="9" t="s">
        <v>14</v>
      </c>
      <c r="E1" s="10" t="s">
        <v>15</v>
      </c>
      <c r="F1" s="10" t="s">
        <v>16</v>
      </c>
      <c r="G1" s="11" t="s">
        <v>17</v>
      </c>
      <c r="H1" s="11" t="s">
        <v>18</v>
      </c>
      <c r="I1" s="11" t="s">
        <v>19</v>
      </c>
      <c r="J1" s="11" t="s">
        <v>20</v>
      </c>
    </row>
    <row r="2" spans="1:10" x14ac:dyDescent="0.3">
      <c r="A2" s="4" t="s">
        <v>50</v>
      </c>
      <c r="B2" s="4" t="s">
        <v>51</v>
      </c>
      <c r="C2" s="4" t="s">
        <v>52</v>
      </c>
      <c r="D2" s="4">
        <v>12.2</v>
      </c>
      <c r="E2" s="5" t="s">
        <v>21</v>
      </c>
      <c r="F2" s="5" t="s">
        <v>22</v>
      </c>
      <c r="G2" s="4">
        <v>111</v>
      </c>
      <c r="H2" s="4">
        <v>95.66</v>
      </c>
      <c r="I2" s="4">
        <v>77.48</v>
      </c>
      <c r="J2" s="4">
        <v>10000</v>
      </c>
    </row>
    <row r="3" spans="1:10" x14ac:dyDescent="0.3">
      <c r="A3" s="4" t="s">
        <v>53</v>
      </c>
      <c r="B3" s="4" t="s">
        <v>54</v>
      </c>
      <c r="C3" s="4" t="s">
        <v>55</v>
      </c>
      <c r="D3" s="4">
        <v>12.1</v>
      </c>
      <c r="E3" s="5" t="s">
        <v>23</v>
      </c>
      <c r="F3" s="5" t="s">
        <v>24</v>
      </c>
      <c r="G3" s="4">
        <v>115</v>
      </c>
      <c r="H3" s="4">
        <v>145.30000000000001</v>
      </c>
      <c r="I3" s="4">
        <v>117.69</v>
      </c>
      <c r="J3" s="4">
        <v>69</v>
      </c>
    </row>
    <row r="4" spans="1:10" x14ac:dyDescent="0.3">
      <c r="A4" s="4" t="s">
        <v>56</v>
      </c>
      <c r="B4" s="4" t="s">
        <v>54</v>
      </c>
      <c r="C4" s="4" t="s">
        <v>57</v>
      </c>
      <c r="D4" s="4">
        <v>14.1</v>
      </c>
      <c r="E4" s="5" t="s">
        <v>21</v>
      </c>
      <c r="F4" s="5" t="s">
        <v>25</v>
      </c>
      <c r="G4" s="4">
        <v>108</v>
      </c>
      <c r="H4" s="4">
        <v>159.83000000000001</v>
      </c>
      <c r="I4" s="4">
        <v>124.67</v>
      </c>
      <c r="J4" s="4">
        <v>37</v>
      </c>
    </row>
    <row r="5" spans="1:10" x14ac:dyDescent="0.3">
      <c r="A5" s="4" t="s">
        <v>58</v>
      </c>
      <c r="B5" s="4" t="s">
        <v>54</v>
      </c>
      <c r="C5" s="4" t="s">
        <v>59</v>
      </c>
      <c r="D5" s="4">
        <v>14</v>
      </c>
      <c r="E5" s="5" t="s">
        <v>21</v>
      </c>
      <c r="F5" s="5" t="s">
        <v>22</v>
      </c>
      <c r="G5" s="4">
        <v>106</v>
      </c>
      <c r="H5" s="4">
        <v>76.37</v>
      </c>
      <c r="I5" s="4">
        <v>66.44</v>
      </c>
      <c r="J5" s="4">
        <v>53</v>
      </c>
    </row>
    <row r="6" spans="1:10" x14ac:dyDescent="0.3">
      <c r="A6" s="4" t="s">
        <v>60</v>
      </c>
      <c r="B6" s="4" t="s">
        <v>61</v>
      </c>
      <c r="C6" s="4" t="s">
        <v>62</v>
      </c>
      <c r="D6" s="4">
        <v>12.1</v>
      </c>
      <c r="E6" s="5" t="s">
        <v>21</v>
      </c>
      <c r="F6" s="5" t="s">
        <v>26</v>
      </c>
      <c r="G6" s="4">
        <v>367</v>
      </c>
      <c r="H6" s="4">
        <v>254.26</v>
      </c>
      <c r="I6" s="4">
        <v>221.21</v>
      </c>
      <c r="J6" s="4">
        <v>52</v>
      </c>
    </row>
    <row r="7" spans="1:10" x14ac:dyDescent="0.3">
      <c r="A7" s="4" t="s">
        <v>63</v>
      </c>
      <c r="B7" s="4" t="s">
        <v>61</v>
      </c>
      <c r="C7" s="4" t="s">
        <v>64</v>
      </c>
      <c r="D7" s="4">
        <v>10</v>
      </c>
      <c r="E7" s="5" t="s">
        <v>27</v>
      </c>
      <c r="F7" s="5" t="s">
        <v>28</v>
      </c>
      <c r="G7" s="4">
        <v>168</v>
      </c>
      <c r="H7" s="4">
        <v>121.1</v>
      </c>
      <c r="I7" s="4">
        <v>94.46</v>
      </c>
      <c r="J7" s="4">
        <v>66</v>
      </c>
    </row>
    <row r="8" spans="1:10" x14ac:dyDescent="0.3">
      <c r="A8" s="4" t="s">
        <v>53</v>
      </c>
      <c r="B8" s="4" t="s">
        <v>65</v>
      </c>
      <c r="C8" s="4" t="s">
        <v>66</v>
      </c>
      <c r="D8" s="4">
        <v>14.1</v>
      </c>
      <c r="E8" s="5" t="s">
        <v>29</v>
      </c>
      <c r="F8" s="5" t="s">
        <v>25</v>
      </c>
      <c r="G8" s="4">
        <v>137</v>
      </c>
      <c r="H8" s="4">
        <v>240.53</v>
      </c>
      <c r="I8" s="4">
        <v>214.07</v>
      </c>
      <c r="J8" s="4">
        <v>32</v>
      </c>
    </row>
    <row r="9" spans="1:10" x14ac:dyDescent="0.3">
      <c r="A9" s="4" t="s">
        <v>60</v>
      </c>
      <c r="B9" s="4" t="s">
        <v>54</v>
      </c>
      <c r="C9" s="4" t="s">
        <v>67</v>
      </c>
      <c r="D9" s="4">
        <v>12.1</v>
      </c>
      <c r="E9" s="5" t="s">
        <v>21</v>
      </c>
      <c r="F9" s="5" t="s">
        <v>25</v>
      </c>
      <c r="G9" s="4">
        <v>126</v>
      </c>
      <c r="H9" s="4">
        <v>138.01</v>
      </c>
      <c r="I9" s="4">
        <v>107.65</v>
      </c>
      <c r="J9" s="4">
        <v>37</v>
      </c>
    </row>
    <row r="10" spans="1:10" x14ac:dyDescent="0.3">
      <c r="A10" s="4" t="s">
        <v>56</v>
      </c>
      <c r="B10" s="4" t="s">
        <v>68</v>
      </c>
      <c r="C10" s="4" t="s">
        <v>69</v>
      </c>
      <c r="D10" s="4">
        <v>12.2</v>
      </c>
      <c r="E10" s="5" t="s">
        <v>30</v>
      </c>
      <c r="F10" s="5" t="s">
        <v>25</v>
      </c>
      <c r="G10" s="6">
        <v>130</v>
      </c>
      <c r="H10" s="4">
        <v>227.75</v>
      </c>
      <c r="I10" s="4">
        <v>179.92</v>
      </c>
      <c r="J10" s="4">
        <v>54</v>
      </c>
    </row>
    <row r="11" spans="1:10" x14ac:dyDescent="0.3">
      <c r="A11" s="4" t="s">
        <v>58</v>
      </c>
      <c r="B11" s="4" t="s">
        <v>54</v>
      </c>
      <c r="C11" s="4" t="s">
        <v>70</v>
      </c>
      <c r="D11" s="4">
        <v>12</v>
      </c>
      <c r="E11" s="5" t="s">
        <v>27</v>
      </c>
      <c r="F11" s="5" t="s">
        <v>31</v>
      </c>
      <c r="G11" s="4">
        <v>195</v>
      </c>
      <c r="H11" s="4">
        <v>203.4</v>
      </c>
      <c r="I11" s="4">
        <v>142.38</v>
      </c>
      <c r="J11" s="4">
        <v>44</v>
      </c>
    </row>
    <row r="12" spans="1:10" x14ac:dyDescent="0.3">
      <c r="A12" s="4" t="s">
        <v>71</v>
      </c>
      <c r="B12" s="4" t="s">
        <v>51</v>
      </c>
      <c r="C12" s="4" t="s">
        <v>72</v>
      </c>
      <c r="D12" s="4">
        <v>12.1</v>
      </c>
      <c r="E12" s="5" t="s">
        <v>21</v>
      </c>
      <c r="F12" s="5" t="s">
        <v>22</v>
      </c>
      <c r="G12" s="4">
        <v>115</v>
      </c>
      <c r="H12" s="4">
        <v>87.21</v>
      </c>
      <c r="I12" s="4">
        <v>75.87</v>
      </c>
      <c r="J12" s="4">
        <v>17</v>
      </c>
    </row>
    <row r="13" spans="1:10" x14ac:dyDescent="0.3">
      <c r="A13" s="4" t="s">
        <v>58</v>
      </c>
      <c r="B13" s="4" t="s">
        <v>68</v>
      </c>
      <c r="C13" s="4" t="s">
        <v>73</v>
      </c>
      <c r="D13" s="4">
        <v>12</v>
      </c>
      <c r="E13" s="5" t="s">
        <v>27</v>
      </c>
      <c r="F13" s="5" t="s">
        <v>26</v>
      </c>
      <c r="G13" s="4">
        <v>341</v>
      </c>
      <c r="H13" s="4">
        <v>168.28</v>
      </c>
      <c r="I13" s="4">
        <v>121.16</v>
      </c>
      <c r="J13" s="4">
        <v>17</v>
      </c>
    </row>
    <row r="14" spans="1:10" x14ac:dyDescent="0.3">
      <c r="A14" s="4" t="s">
        <v>58</v>
      </c>
      <c r="B14" s="4" t="s">
        <v>61</v>
      </c>
      <c r="C14" s="4" t="s">
        <v>74</v>
      </c>
      <c r="D14" s="4">
        <v>12.2</v>
      </c>
      <c r="E14" s="5" t="s">
        <v>21</v>
      </c>
      <c r="F14" s="5" t="s">
        <v>22</v>
      </c>
      <c r="G14" s="4">
        <v>113</v>
      </c>
      <c r="H14" s="4">
        <v>73.27</v>
      </c>
      <c r="I14" s="4">
        <v>63.74</v>
      </c>
      <c r="J14" s="4">
        <v>37</v>
      </c>
    </row>
    <row r="15" spans="1:10" x14ac:dyDescent="0.3">
      <c r="A15" s="4" t="s">
        <v>75</v>
      </c>
      <c r="B15" s="4" t="s">
        <v>61</v>
      </c>
      <c r="C15" s="4" t="s">
        <v>76</v>
      </c>
      <c r="D15" s="4">
        <v>14.1</v>
      </c>
      <c r="E15" s="5" t="s">
        <v>27</v>
      </c>
      <c r="F15" s="5" t="s">
        <v>32</v>
      </c>
      <c r="G15" s="4">
        <v>124</v>
      </c>
      <c r="H15" s="4">
        <v>107.15</v>
      </c>
      <c r="I15" s="4">
        <v>76.08</v>
      </c>
      <c r="J15" s="4">
        <v>51</v>
      </c>
    </row>
    <row r="16" spans="1:10" x14ac:dyDescent="0.3">
      <c r="A16" s="4" t="s">
        <v>77</v>
      </c>
      <c r="B16" s="4" t="s">
        <v>61</v>
      </c>
      <c r="C16" s="4" t="s">
        <v>78</v>
      </c>
      <c r="D16" s="4">
        <v>14</v>
      </c>
      <c r="E16" s="5" t="s">
        <v>21</v>
      </c>
      <c r="F16" s="5" t="s">
        <v>32</v>
      </c>
      <c r="G16" s="4">
        <v>116</v>
      </c>
      <c r="H16" s="4">
        <v>157.59</v>
      </c>
      <c r="I16" s="4">
        <v>138.68</v>
      </c>
      <c r="J16" s="4">
        <v>43</v>
      </c>
    </row>
    <row r="17" spans="1:10" x14ac:dyDescent="0.3">
      <c r="A17" s="4" t="s">
        <v>79</v>
      </c>
      <c r="B17" s="4" t="s">
        <v>65</v>
      </c>
      <c r="C17" s="4" t="s">
        <v>80</v>
      </c>
      <c r="D17" s="4">
        <v>10</v>
      </c>
      <c r="E17" s="5" t="s">
        <v>21</v>
      </c>
      <c r="F17" s="5" t="s">
        <v>25</v>
      </c>
      <c r="G17" s="4">
        <v>105</v>
      </c>
      <c r="H17" s="4">
        <v>108.96</v>
      </c>
      <c r="I17" s="4">
        <v>91.53</v>
      </c>
      <c r="J17" s="4">
        <v>37</v>
      </c>
    </row>
    <row r="18" spans="1:10" x14ac:dyDescent="0.3">
      <c r="A18" s="4" t="s">
        <v>53</v>
      </c>
      <c r="B18" s="4" t="s">
        <v>54</v>
      </c>
      <c r="C18" s="4" t="s">
        <v>81</v>
      </c>
      <c r="D18" s="4">
        <v>12.1</v>
      </c>
      <c r="E18" s="5" t="s">
        <v>21</v>
      </c>
      <c r="F18" s="5" t="s">
        <v>33</v>
      </c>
      <c r="G18" s="4">
        <v>136</v>
      </c>
      <c r="H18" s="4">
        <v>147.33000000000001</v>
      </c>
      <c r="I18" s="4">
        <v>116.39</v>
      </c>
      <c r="J18" s="4">
        <v>61</v>
      </c>
    </row>
    <row r="19" spans="1:10" x14ac:dyDescent="0.3">
      <c r="A19" s="4" t="s">
        <v>56</v>
      </c>
      <c r="B19" s="4" t="s">
        <v>54</v>
      </c>
      <c r="C19" s="4" t="s">
        <v>82</v>
      </c>
      <c r="D19" s="4">
        <v>9.1</v>
      </c>
      <c r="E19" s="5" t="s">
        <v>27</v>
      </c>
      <c r="F19" s="5" t="s">
        <v>34</v>
      </c>
      <c r="G19" s="4">
        <v>453</v>
      </c>
      <c r="H19" s="4">
        <v>305.27</v>
      </c>
      <c r="I19" s="4">
        <v>225.9</v>
      </c>
      <c r="J19" s="4">
        <v>46</v>
      </c>
    </row>
    <row r="20" spans="1:10" x14ac:dyDescent="0.3">
      <c r="A20" s="4" t="s">
        <v>58</v>
      </c>
      <c r="B20" s="4" t="s">
        <v>54</v>
      </c>
      <c r="C20" s="4" t="s">
        <v>83</v>
      </c>
      <c r="D20" s="4">
        <v>12.2</v>
      </c>
      <c r="E20" s="5" t="s">
        <v>21</v>
      </c>
      <c r="F20" s="5" t="s">
        <v>25</v>
      </c>
      <c r="G20" s="4">
        <v>195</v>
      </c>
      <c r="H20" s="4">
        <v>84.75</v>
      </c>
      <c r="I20" s="4">
        <v>60.17</v>
      </c>
      <c r="J20" s="4">
        <v>42</v>
      </c>
    </row>
    <row r="21" spans="1:10" x14ac:dyDescent="0.3">
      <c r="A21" s="4" t="s">
        <v>53</v>
      </c>
      <c r="B21" s="4" t="s">
        <v>51</v>
      </c>
      <c r="C21" s="4" t="s">
        <v>84</v>
      </c>
      <c r="D21" s="4">
        <v>10.1</v>
      </c>
      <c r="E21" s="5" t="s">
        <v>27</v>
      </c>
      <c r="F21" s="5" t="s">
        <v>35</v>
      </c>
      <c r="G21" s="4">
        <v>260</v>
      </c>
      <c r="H21" s="4">
        <v>168.42</v>
      </c>
      <c r="I21" s="4">
        <v>151.58000000000001</v>
      </c>
      <c r="J21" s="4">
        <v>27</v>
      </c>
    </row>
    <row r="22" spans="1:10" x14ac:dyDescent="0.3">
      <c r="A22" s="4" t="s">
        <v>53</v>
      </c>
      <c r="B22" s="4" t="s">
        <v>51</v>
      </c>
      <c r="C22" s="4" t="s">
        <v>85</v>
      </c>
      <c r="D22" s="4">
        <v>12.1</v>
      </c>
      <c r="E22" s="5" t="s">
        <v>23</v>
      </c>
      <c r="F22" s="5" t="s">
        <v>24</v>
      </c>
      <c r="G22" s="4">
        <v>140</v>
      </c>
      <c r="H22" s="4">
        <v>268.5</v>
      </c>
      <c r="I22" s="4">
        <v>222.86</v>
      </c>
      <c r="J22" s="4">
        <v>54</v>
      </c>
    </row>
    <row r="23" spans="1:10" x14ac:dyDescent="0.3">
      <c r="A23" s="4" t="s">
        <v>50</v>
      </c>
      <c r="B23" s="4" t="s">
        <v>68</v>
      </c>
      <c r="C23" s="4" t="s">
        <v>86</v>
      </c>
      <c r="D23" s="4">
        <v>14.2</v>
      </c>
      <c r="E23" s="5" t="s">
        <v>29</v>
      </c>
      <c r="F23" s="5" t="s">
        <v>25</v>
      </c>
      <c r="G23" s="4">
        <v>147</v>
      </c>
      <c r="H23" s="4">
        <v>176.88</v>
      </c>
      <c r="I23" s="4">
        <v>132.66</v>
      </c>
      <c r="J23" s="4">
        <v>39</v>
      </c>
    </row>
    <row r="24" spans="1:10" x14ac:dyDescent="0.3">
      <c r="A24" s="4" t="s">
        <v>53</v>
      </c>
      <c r="B24" s="4" t="s">
        <v>68</v>
      </c>
      <c r="C24" s="4" t="s">
        <v>87</v>
      </c>
      <c r="D24" s="4">
        <v>10</v>
      </c>
      <c r="E24" s="5" t="s">
        <v>27</v>
      </c>
      <c r="F24" s="5" t="s">
        <v>36</v>
      </c>
      <c r="G24" s="4">
        <v>150</v>
      </c>
      <c r="H24" s="4">
        <v>259.18</v>
      </c>
      <c r="I24" s="4">
        <v>220.3</v>
      </c>
      <c r="J24" s="4">
        <v>64</v>
      </c>
    </row>
    <row r="25" spans="1:10" x14ac:dyDescent="0.3">
      <c r="A25" s="4" t="s">
        <v>77</v>
      </c>
      <c r="B25" s="4" t="s">
        <v>61</v>
      </c>
      <c r="C25" s="4" t="s">
        <v>88</v>
      </c>
      <c r="D25" s="4">
        <v>12</v>
      </c>
      <c r="E25" s="5" t="s">
        <v>21</v>
      </c>
      <c r="F25" s="5" t="s">
        <v>25</v>
      </c>
      <c r="G25" s="4">
        <v>150</v>
      </c>
      <c r="H25" s="4">
        <v>149.57</v>
      </c>
      <c r="I25" s="4">
        <v>121.15</v>
      </c>
      <c r="J25" s="4">
        <v>56</v>
      </c>
    </row>
    <row r="26" spans="1:10" x14ac:dyDescent="0.3">
      <c r="A26" s="4" t="s">
        <v>53</v>
      </c>
      <c r="B26" s="4" t="s">
        <v>51</v>
      </c>
      <c r="C26" s="4" t="s">
        <v>89</v>
      </c>
      <c r="D26" s="4">
        <v>10</v>
      </c>
      <c r="E26" s="5" t="s">
        <v>23</v>
      </c>
      <c r="F26" s="5" t="s">
        <v>32</v>
      </c>
      <c r="G26" s="4">
        <v>120</v>
      </c>
      <c r="H26" s="4">
        <v>101.73</v>
      </c>
      <c r="I26" s="4">
        <v>90.54</v>
      </c>
      <c r="J26" s="4">
        <v>54</v>
      </c>
    </row>
    <row r="27" spans="1:10" x14ac:dyDescent="0.3">
      <c r="A27" s="4" t="s">
        <v>75</v>
      </c>
      <c r="B27" s="4" t="s">
        <v>54</v>
      </c>
      <c r="C27" s="4" t="s">
        <v>90</v>
      </c>
      <c r="D27" s="4">
        <v>12.1</v>
      </c>
      <c r="E27" s="5" t="s">
        <v>27</v>
      </c>
      <c r="F27" s="5" t="s">
        <v>32</v>
      </c>
      <c r="G27" s="4">
        <v>131</v>
      </c>
      <c r="H27" s="4">
        <v>150.29</v>
      </c>
      <c r="I27" s="4">
        <v>117.23</v>
      </c>
      <c r="J27" s="4">
        <v>61</v>
      </c>
    </row>
    <row r="28" spans="1:10" x14ac:dyDescent="0.3">
      <c r="A28" s="4" t="s">
        <v>58</v>
      </c>
      <c r="B28" s="4" t="s">
        <v>54</v>
      </c>
      <c r="C28" s="4" t="s">
        <v>91</v>
      </c>
      <c r="D28" s="4">
        <v>12.2</v>
      </c>
      <c r="E28" s="5" t="s">
        <v>21</v>
      </c>
      <c r="F28" s="5" t="s">
        <v>37</v>
      </c>
      <c r="G28" s="4">
        <v>124</v>
      </c>
      <c r="H28" s="4">
        <v>69.150000000000006</v>
      </c>
      <c r="I28" s="4">
        <v>62.24</v>
      </c>
      <c r="J28" s="4">
        <v>42</v>
      </c>
    </row>
    <row r="29" spans="1:10" x14ac:dyDescent="0.3">
      <c r="A29" s="4" t="s">
        <v>50</v>
      </c>
      <c r="B29" s="4" t="s">
        <v>54</v>
      </c>
      <c r="C29" s="4" t="s">
        <v>92</v>
      </c>
      <c r="D29" s="4">
        <v>12.2</v>
      </c>
      <c r="E29" s="5" t="s">
        <v>29</v>
      </c>
      <c r="F29" s="5" t="s">
        <v>31</v>
      </c>
      <c r="G29" s="4">
        <v>214</v>
      </c>
      <c r="H29" s="4">
        <v>250.79</v>
      </c>
      <c r="I29" s="4">
        <v>198.12</v>
      </c>
      <c r="J29" s="4">
        <v>52</v>
      </c>
    </row>
    <row r="30" spans="1:10" x14ac:dyDescent="0.3">
      <c r="A30" s="4" t="s">
        <v>79</v>
      </c>
      <c r="B30" s="4" t="s">
        <v>61</v>
      </c>
      <c r="C30" s="4" t="s">
        <v>93</v>
      </c>
      <c r="D30" s="4">
        <v>12.1</v>
      </c>
      <c r="E30" s="5" t="s">
        <v>21</v>
      </c>
      <c r="F30" s="5" t="s">
        <v>25</v>
      </c>
      <c r="G30" s="4">
        <v>153</v>
      </c>
      <c r="H30" s="4">
        <v>102.89</v>
      </c>
      <c r="I30" s="4">
        <v>88.49</v>
      </c>
      <c r="J30" s="4">
        <v>50</v>
      </c>
    </row>
    <row r="31" spans="1:10" x14ac:dyDescent="0.3">
      <c r="A31" s="4" t="s">
        <v>94</v>
      </c>
      <c r="B31" s="4" t="s">
        <v>61</v>
      </c>
      <c r="C31" s="4" t="s">
        <v>95</v>
      </c>
      <c r="D31" s="4">
        <v>10.1</v>
      </c>
      <c r="E31" s="5" t="s">
        <v>27</v>
      </c>
      <c r="F31" s="5" t="s">
        <v>28</v>
      </c>
      <c r="G31" s="4">
        <v>120</v>
      </c>
      <c r="H31" s="4">
        <v>365.75</v>
      </c>
      <c r="I31" s="4">
        <v>274.31</v>
      </c>
      <c r="J31" s="4">
        <v>50</v>
      </c>
    </row>
    <row r="32" spans="1:10" x14ac:dyDescent="0.3">
      <c r="A32" s="4" t="s">
        <v>58</v>
      </c>
      <c r="B32" s="4" t="s">
        <v>65</v>
      </c>
      <c r="C32" s="4" t="s">
        <v>96</v>
      </c>
      <c r="D32" s="4">
        <v>12.2</v>
      </c>
      <c r="E32" s="5" t="s">
        <v>27</v>
      </c>
      <c r="F32" s="5" t="s">
        <v>22</v>
      </c>
      <c r="G32" s="4">
        <v>113</v>
      </c>
      <c r="H32" s="4">
        <v>73.27</v>
      </c>
      <c r="I32" s="4">
        <v>65.94</v>
      </c>
      <c r="J32" s="4">
        <v>71</v>
      </c>
    </row>
    <row r="33" spans="1:10" x14ac:dyDescent="0.3">
      <c r="A33" s="4" t="s">
        <v>63</v>
      </c>
      <c r="B33" s="4" t="s">
        <v>54</v>
      </c>
      <c r="C33" s="4" t="s">
        <v>97</v>
      </c>
      <c r="D33" s="4">
        <v>9.2899999999999991</v>
      </c>
      <c r="E33" s="5" t="s">
        <v>27</v>
      </c>
      <c r="F33" s="5" t="s">
        <v>38</v>
      </c>
      <c r="G33" s="4">
        <v>185</v>
      </c>
      <c r="H33" s="4">
        <v>192.63</v>
      </c>
      <c r="I33" s="4">
        <v>154.1</v>
      </c>
      <c r="J33" s="4">
        <v>51</v>
      </c>
    </row>
    <row r="34" spans="1:10" x14ac:dyDescent="0.3">
      <c r="A34" s="4" t="s">
        <v>94</v>
      </c>
      <c r="B34" s="4" t="s">
        <v>68</v>
      </c>
      <c r="C34" s="4" t="s">
        <v>98</v>
      </c>
      <c r="D34" s="4">
        <v>12</v>
      </c>
      <c r="E34" s="5" t="s">
        <v>27</v>
      </c>
      <c r="F34" s="5" t="s">
        <v>39</v>
      </c>
      <c r="G34" s="4">
        <v>183</v>
      </c>
      <c r="H34" s="4">
        <v>100</v>
      </c>
      <c r="I34" s="4">
        <v>59.7</v>
      </c>
      <c r="J34" s="4">
        <v>43</v>
      </c>
    </row>
    <row r="35" spans="1:10" x14ac:dyDescent="0.3">
      <c r="A35" s="4" t="s">
        <v>94</v>
      </c>
      <c r="B35" s="4" t="s">
        <v>54</v>
      </c>
      <c r="C35" s="4" t="s">
        <v>99</v>
      </c>
      <c r="D35" s="4">
        <v>14.2</v>
      </c>
      <c r="E35" s="5" t="s">
        <v>21</v>
      </c>
      <c r="F35" s="5" t="s">
        <v>40</v>
      </c>
      <c r="G35" s="4">
        <v>156</v>
      </c>
      <c r="H35" s="4">
        <v>249.86</v>
      </c>
      <c r="I35" s="4">
        <v>182.4</v>
      </c>
      <c r="J35" s="4">
        <v>15</v>
      </c>
    </row>
    <row r="36" spans="1:10" x14ac:dyDescent="0.3">
      <c r="A36" s="4" t="s">
        <v>94</v>
      </c>
      <c r="B36" s="4" t="s">
        <v>51</v>
      </c>
      <c r="C36" s="4" t="s">
        <v>100</v>
      </c>
      <c r="D36" s="4">
        <v>12</v>
      </c>
      <c r="E36" s="5" t="s">
        <v>21</v>
      </c>
      <c r="F36" s="5" t="s">
        <v>25</v>
      </c>
      <c r="G36" s="4">
        <v>360</v>
      </c>
      <c r="H36" s="4">
        <v>98.77</v>
      </c>
      <c r="I36" s="4">
        <v>75.069999999999993</v>
      </c>
      <c r="J36" s="4">
        <v>69</v>
      </c>
    </row>
    <row r="37" spans="1:10" x14ac:dyDescent="0.3">
      <c r="A37" s="4" t="s">
        <v>77</v>
      </c>
      <c r="B37" s="4" t="s">
        <v>68</v>
      </c>
      <c r="C37" s="4" t="s">
        <v>101</v>
      </c>
      <c r="D37" s="4">
        <v>14</v>
      </c>
      <c r="E37" s="5" t="s">
        <v>21</v>
      </c>
      <c r="F37" s="5" t="s">
        <v>41</v>
      </c>
      <c r="G37" s="4">
        <v>171</v>
      </c>
      <c r="H37" s="4">
        <v>266.39999999999998</v>
      </c>
      <c r="I37" s="4">
        <v>229.1</v>
      </c>
      <c r="J37" s="4">
        <v>37</v>
      </c>
    </row>
    <row r="38" spans="1:10" x14ac:dyDescent="0.3">
      <c r="A38" s="4" t="s">
        <v>94</v>
      </c>
      <c r="B38" s="4" t="s">
        <v>61</v>
      </c>
      <c r="C38" s="4" t="s">
        <v>102</v>
      </c>
      <c r="D38" s="4">
        <v>14.1</v>
      </c>
      <c r="E38" s="5" t="s">
        <v>27</v>
      </c>
      <c r="F38" s="5" t="s">
        <v>25</v>
      </c>
      <c r="G38" s="4">
        <v>155</v>
      </c>
      <c r="H38" s="4">
        <v>268.5</v>
      </c>
      <c r="I38" s="4">
        <v>196.01</v>
      </c>
      <c r="J38" s="4">
        <v>53</v>
      </c>
    </row>
    <row r="39" spans="1:10" x14ac:dyDescent="0.3">
      <c r="A39" s="4" t="s">
        <v>60</v>
      </c>
      <c r="B39" s="4" t="s">
        <v>61</v>
      </c>
      <c r="C39" s="4" t="s">
        <v>103</v>
      </c>
      <c r="D39" s="4">
        <v>12.1</v>
      </c>
      <c r="E39" s="5" t="s">
        <v>27</v>
      </c>
      <c r="F39" s="5" t="s">
        <v>42</v>
      </c>
      <c r="G39" s="4">
        <v>336</v>
      </c>
      <c r="H39" s="4">
        <v>523.19000000000005</v>
      </c>
      <c r="I39" s="4">
        <v>413.32</v>
      </c>
      <c r="J39" s="4">
        <v>52</v>
      </c>
    </row>
    <row r="40" spans="1:10" x14ac:dyDescent="0.3">
      <c r="A40" s="4" t="s">
        <v>53</v>
      </c>
      <c r="B40" s="4" t="s">
        <v>61</v>
      </c>
      <c r="C40" s="4" t="s">
        <v>104</v>
      </c>
      <c r="D40" s="4">
        <v>10</v>
      </c>
      <c r="E40" s="5" t="s">
        <v>27</v>
      </c>
      <c r="F40" s="5" t="s">
        <v>43</v>
      </c>
      <c r="G40" s="4">
        <v>167</v>
      </c>
      <c r="H40" s="4">
        <v>271.32</v>
      </c>
      <c r="I40" s="4">
        <v>211.63</v>
      </c>
      <c r="J40" s="4">
        <v>66</v>
      </c>
    </row>
    <row r="41" spans="1:10" x14ac:dyDescent="0.3">
      <c r="A41" s="4" t="s">
        <v>75</v>
      </c>
      <c r="B41" s="4" t="s">
        <v>65</v>
      </c>
      <c r="C41" s="4" t="s">
        <v>76</v>
      </c>
      <c r="D41" s="4">
        <v>14.1</v>
      </c>
      <c r="E41" s="5" t="s">
        <v>27</v>
      </c>
      <c r="F41" s="5" t="s">
        <v>33</v>
      </c>
      <c r="G41" s="4">
        <v>124</v>
      </c>
      <c r="H41" s="4">
        <v>107.15</v>
      </c>
      <c r="I41" s="4">
        <v>81.430000000000007</v>
      </c>
      <c r="J41" s="4">
        <v>32</v>
      </c>
    </row>
    <row r="42" spans="1:10" x14ac:dyDescent="0.3">
      <c r="A42" s="4" t="s">
        <v>58</v>
      </c>
      <c r="B42" s="4" t="s">
        <v>54</v>
      </c>
      <c r="C42" s="4" t="s">
        <v>105</v>
      </c>
      <c r="D42" s="4">
        <v>10</v>
      </c>
      <c r="E42" s="5" t="s">
        <v>21</v>
      </c>
      <c r="F42" s="5" t="s">
        <v>41</v>
      </c>
      <c r="G42" s="4">
        <v>180</v>
      </c>
      <c r="H42" s="4">
        <v>132.01</v>
      </c>
      <c r="I42" s="4">
        <v>116.17</v>
      </c>
      <c r="J42" s="4">
        <v>37</v>
      </c>
    </row>
    <row r="43" spans="1:10" x14ac:dyDescent="0.3">
      <c r="A43" s="4" t="s">
        <v>56</v>
      </c>
      <c r="B43" s="4" t="s">
        <v>54</v>
      </c>
      <c r="C43" s="4" t="s">
        <v>106</v>
      </c>
      <c r="D43" s="4">
        <v>14.1</v>
      </c>
      <c r="E43" s="5" t="s">
        <v>27</v>
      </c>
      <c r="F43" s="5" t="s">
        <v>43</v>
      </c>
      <c r="G43" s="4">
        <v>170</v>
      </c>
      <c r="H43" s="4">
        <v>169.65</v>
      </c>
      <c r="I43" s="4">
        <v>144.19999999999999</v>
      </c>
      <c r="J43" s="4">
        <v>54</v>
      </c>
    </row>
    <row r="44" spans="1:10" x14ac:dyDescent="0.3">
      <c r="A44" s="4" t="s">
        <v>58</v>
      </c>
      <c r="B44" s="4" t="s">
        <v>54</v>
      </c>
      <c r="C44" s="4" t="s">
        <v>107</v>
      </c>
      <c r="D44" s="4">
        <v>12</v>
      </c>
      <c r="E44" s="5" t="s">
        <v>27</v>
      </c>
      <c r="F44" s="5" t="s">
        <v>41</v>
      </c>
      <c r="G44" s="4">
        <v>183</v>
      </c>
      <c r="H44" s="4">
        <v>147.69</v>
      </c>
      <c r="I44" s="4">
        <v>104.86</v>
      </c>
      <c r="J44" s="4">
        <v>44</v>
      </c>
    </row>
    <row r="45" spans="1:10" x14ac:dyDescent="0.3">
      <c r="A45" s="4" t="s">
        <v>58</v>
      </c>
      <c r="B45" s="4" t="s">
        <v>51</v>
      </c>
      <c r="C45" s="4" t="s">
        <v>108</v>
      </c>
      <c r="D45" s="4">
        <v>12.2</v>
      </c>
      <c r="E45" s="5" t="s">
        <v>21</v>
      </c>
      <c r="F45" s="5" t="s">
        <v>22</v>
      </c>
      <c r="G45" s="4">
        <v>106</v>
      </c>
      <c r="H45" s="4">
        <v>70.88</v>
      </c>
      <c r="I45" s="4">
        <v>57.41</v>
      </c>
      <c r="J45" s="4">
        <v>17</v>
      </c>
    </row>
    <row r="46" spans="1:10" x14ac:dyDescent="0.3">
      <c r="A46" s="4" t="s">
        <v>53</v>
      </c>
      <c r="B46" s="4" t="s">
        <v>51</v>
      </c>
      <c r="C46" s="4" t="s">
        <v>109</v>
      </c>
      <c r="D46" s="4">
        <v>12.1</v>
      </c>
      <c r="E46" s="5" t="s">
        <v>21</v>
      </c>
      <c r="F46" s="5" t="s">
        <v>32</v>
      </c>
      <c r="G46" s="4">
        <v>140</v>
      </c>
      <c r="H46" s="4">
        <v>111.49</v>
      </c>
      <c r="I46" s="4">
        <v>88.08</v>
      </c>
      <c r="J46" s="4">
        <v>17</v>
      </c>
    </row>
    <row r="47" spans="1:10" x14ac:dyDescent="0.3">
      <c r="A47" s="4" t="s">
        <v>79</v>
      </c>
      <c r="B47" s="4" t="s">
        <v>68</v>
      </c>
      <c r="C47" s="4" t="s">
        <v>110</v>
      </c>
      <c r="D47" s="4">
        <v>12.1</v>
      </c>
      <c r="E47" s="5" t="s">
        <v>21</v>
      </c>
      <c r="F47" s="5" t="s">
        <v>25</v>
      </c>
      <c r="G47" s="4">
        <v>132</v>
      </c>
      <c r="H47" s="4">
        <v>84.75</v>
      </c>
      <c r="I47" s="4">
        <v>68.650000000000006</v>
      </c>
      <c r="J47" s="4">
        <v>37</v>
      </c>
    </row>
    <row r="48" spans="1:10" x14ac:dyDescent="0.3">
      <c r="A48" s="4" t="s">
        <v>94</v>
      </c>
      <c r="B48" s="4" t="s">
        <v>68</v>
      </c>
      <c r="C48" s="4" t="s">
        <v>111</v>
      </c>
      <c r="D48" s="4">
        <v>10.3</v>
      </c>
      <c r="E48" s="5" t="s">
        <v>27</v>
      </c>
      <c r="F48" s="5" t="s">
        <v>44</v>
      </c>
      <c r="G48" s="4">
        <v>481</v>
      </c>
      <c r="H48" s="4">
        <v>370.3</v>
      </c>
      <c r="I48" s="4">
        <v>274.02</v>
      </c>
      <c r="J48" s="4">
        <v>51</v>
      </c>
    </row>
    <row r="49" spans="1:10" x14ac:dyDescent="0.3">
      <c r="A49" s="4" t="s">
        <v>75</v>
      </c>
      <c r="B49" s="4" t="s">
        <v>61</v>
      </c>
      <c r="C49" s="4" t="s">
        <v>112</v>
      </c>
      <c r="D49" s="4">
        <v>12.1</v>
      </c>
      <c r="E49" s="5" t="s">
        <v>23</v>
      </c>
      <c r="F49" s="5" t="s">
        <v>24</v>
      </c>
      <c r="G49" s="4">
        <v>125</v>
      </c>
      <c r="H49" s="4">
        <v>71.39</v>
      </c>
      <c r="I49" s="4">
        <v>62.82</v>
      </c>
      <c r="J49" s="4">
        <v>43</v>
      </c>
    </row>
    <row r="50" spans="1:10" x14ac:dyDescent="0.3">
      <c r="A50" s="4" t="s">
        <v>58</v>
      </c>
      <c r="B50" s="4" t="s">
        <v>68</v>
      </c>
      <c r="C50" s="4" t="s">
        <v>70</v>
      </c>
      <c r="D50" s="4">
        <v>12</v>
      </c>
      <c r="E50" s="5" t="s">
        <v>27</v>
      </c>
      <c r="F50" s="5" t="s">
        <v>45</v>
      </c>
      <c r="G50" s="4">
        <v>195</v>
      </c>
      <c r="H50" s="4">
        <v>300</v>
      </c>
      <c r="I50" s="4">
        <v>183.06</v>
      </c>
      <c r="J50" s="4">
        <v>37</v>
      </c>
    </row>
    <row r="51" spans="1:10" x14ac:dyDescent="0.3">
      <c r="A51" s="4" t="s">
        <v>71</v>
      </c>
      <c r="B51" s="4" t="s">
        <v>51</v>
      </c>
      <c r="C51" s="4" t="s">
        <v>113</v>
      </c>
      <c r="D51" s="4">
        <v>6</v>
      </c>
      <c r="E51" s="5" t="s">
        <v>46</v>
      </c>
      <c r="F51" s="5" t="s">
        <v>22</v>
      </c>
      <c r="G51" s="4">
        <v>130</v>
      </c>
      <c r="H51" s="4">
        <v>77.53</v>
      </c>
      <c r="I51" s="4">
        <v>56.6</v>
      </c>
      <c r="J51" s="4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F006-158D-432D-BFA4-C7F80DF0D967}">
  <dimension ref="C2:G16"/>
  <sheetViews>
    <sheetView workbookViewId="0">
      <selection activeCell="E24" sqref="E24"/>
    </sheetView>
  </sheetViews>
  <sheetFormatPr defaultRowHeight="14.4" x14ac:dyDescent="0.3"/>
  <cols>
    <col min="3" max="3" width="12.5546875" bestFit="1" customWidth="1"/>
    <col min="4" max="4" width="19.5546875" bestFit="1" customWidth="1"/>
    <col min="5" max="5" width="16.33203125" bestFit="1" customWidth="1"/>
    <col min="6" max="6" width="14.88671875" bestFit="1" customWidth="1"/>
    <col min="7" max="7" width="18.109375" bestFit="1" customWidth="1"/>
  </cols>
  <sheetData>
    <row r="2" spans="3:7" x14ac:dyDescent="0.3">
      <c r="C2" s="7" t="s">
        <v>48</v>
      </c>
      <c r="D2" s="3" t="s">
        <v>120</v>
      </c>
    </row>
    <row r="4" spans="3:7" x14ac:dyDescent="0.3">
      <c r="C4" s="7" t="s">
        <v>114</v>
      </c>
      <c r="D4" s="3" t="s">
        <v>119</v>
      </c>
      <c r="E4" s="3" t="s">
        <v>116</v>
      </c>
      <c r="F4" s="3" t="s">
        <v>117</v>
      </c>
      <c r="G4" s="3" t="s">
        <v>118</v>
      </c>
    </row>
    <row r="5" spans="3:7" x14ac:dyDescent="0.3">
      <c r="C5" s="8" t="s">
        <v>53</v>
      </c>
      <c r="D5" s="12">
        <v>151.66666666666666</v>
      </c>
      <c r="E5" s="12">
        <v>1365</v>
      </c>
      <c r="F5" s="12">
        <v>444</v>
      </c>
      <c r="G5" s="12">
        <v>49.333333333333336</v>
      </c>
    </row>
    <row r="6" spans="3:7" x14ac:dyDescent="0.3">
      <c r="C6" s="8" t="s">
        <v>75</v>
      </c>
      <c r="D6" s="12">
        <v>126</v>
      </c>
      <c r="E6" s="12">
        <v>504</v>
      </c>
      <c r="F6" s="12">
        <v>187</v>
      </c>
      <c r="G6" s="12">
        <v>46.75</v>
      </c>
    </row>
    <row r="7" spans="3:7" x14ac:dyDescent="0.3">
      <c r="C7" s="8" t="s">
        <v>58</v>
      </c>
      <c r="D7" s="12">
        <v>168.27272727272728</v>
      </c>
      <c r="E7" s="12">
        <v>1851</v>
      </c>
      <c r="F7" s="12">
        <v>441</v>
      </c>
      <c r="G7" s="12">
        <v>40.090909090909093</v>
      </c>
    </row>
    <row r="8" spans="3:7" x14ac:dyDescent="0.3">
      <c r="C8" s="8" t="s">
        <v>94</v>
      </c>
      <c r="D8" s="12">
        <v>242.5</v>
      </c>
      <c r="E8" s="12">
        <v>1455</v>
      </c>
      <c r="F8" s="12">
        <v>281</v>
      </c>
      <c r="G8" s="12">
        <v>46.833333333333336</v>
      </c>
    </row>
    <row r="9" spans="3:7" x14ac:dyDescent="0.3">
      <c r="C9" s="8" t="s">
        <v>77</v>
      </c>
      <c r="D9" s="12">
        <v>145.66666666666666</v>
      </c>
      <c r="E9" s="12">
        <v>437</v>
      </c>
      <c r="F9" s="12">
        <v>136</v>
      </c>
      <c r="G9" s="12">
        <v>45.333333333333336</v>
      </c>
    </row>
    <row r="10" spans="3:7" x14ac:dyDescent="0.3">
      <c r="C10" s="8" t="s">
        <v>60</v>
      </c>
      <c r="D10" s="12">
        <v>276.33333333333331</v>
      </c>
      <c r="E10" s="12">
        <v>829</v>
      </c>
      <c r="F10" s="12">
        <v>141</v>
      </c>
      <c r="G10" s="12">
        <v>47</v>
      </c>
    </row>
    <row r="11" spans="3:7" x14ac:dyDescent="0.3">
      <c r="C11" s="8" t="s">
        <v>79</v>
      </c>
      <c r="D11" s="12">
        <v>130</v>
      </c>
      <c r="E11" s="12">
        <v>390</v>
      </c>
      <c r="F11" s="12">
        <v>124</v>
      </c>
      <c r="G11" s="12">
        <v>41.333333333333336</v>
      </c>
    </row>
    <row r="12" spans="3:7" x14ac:dyDescent="0.3">
      <c r="C12" s="8" t="s">
        <v>63</v>
      </c>
      <c r="D12" s="12">
        <v>176.5</v>
      </c>
      <c r="E12" s="12">
        <v>353</v>
      </c>
      <c r="F12" s="12">
        <v>117</v>
      </c>
      <c r="G12" s="12">
        <v>58.5</v>
      </c>
    </row>
    <row r="13" spans="3:7" x14ac:dyDescent="0.3">
      <c r="C13" s="8" t="s">
        <v>50</v>
      </c>
      <c r="D13" s="12">
        <v>157.33333333333334</v>
      </c>
      <c r="E13" s="12">
        <v>472</v>
      </c>
      <c r="F13" s="12">
        <v>10091</v>
      </c>
      <c r="G13" s="12">
        <v>3363.6666666666665</v>
      </c>
    </row>
    <row r="14" spans="3:7" x14ac:dyDescent="0.3">
      <c r="C14" s="8" t="s">
        <v>71</v>
      </c>
      <c r="D14" s="12">
        <v>122.5</v>
      </c>
      <c r="E14" s="12">
        <v>245</v>
      </c>
      <c r="F14" s="12">
        <v>78</v>
      </c>
      <c r="G14" s="12">
        <v>39</v>
      </c>
    </row>
    <row r="15" spans="3:7" x14ac:dyDescent="0.3">
      <c r="C15" s="8" t="s">
        <v>56</v>
      </c>
      <c r="D15" s="12">
        <v>215.25</v>
      </c>
      <c r="E15" s="12">
        <v>861</v>
      </c>
      <c r="F15" s="12">
        <v>191</v>
      </c>
      <c r="G15" s="12">
        <v>47.75</v>
      </c>
    </row>
    <row r="16" spans="3:7" x14ac:dyDescent="0.3">
      <c r="C16" s="8" t="s">
        <v>115</v>
      </c>
      <c r="D16" s="12">
        <v>175.24</v>
      </c>
      <c r="E16" s="12">
        <v>8762</v>
      </c>
      <c r="F16" s="12">
        <v>12231</v>
      </c>
      <c r="G16" s="12">
        <v>244.62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</vt:lpstr>
      <vt:lpstr>Data</vt:lpstr>
      <vt:lpstr>pivot result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2026-01-07T16:54:25Z</dcterms:created>
  <dcterms:modified xsi:type="dcterms:W3CDTF">2026-01-07T17:09:42Z</dcterms:modified>
</cp:coreProperties>
</file>