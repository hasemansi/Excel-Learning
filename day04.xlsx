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13_ncr:1_{699936E6-758A-465C-A060-DF6C86E966CA}" xr6:coauthVersionLast="47" xr6:coauthVersionMax="47" xr10:uidLastSave="{00000000-0000-0000-0000-000000000000}"/>
  <bookViews>
    <workbookView xWindow="-108" yWindow="-108" windowWidth="23256" windowHeight="12456" activeTab="1" xr2:uid="{3EB9F1E6-6D46-4BEE-B4CC-2A70A616C3AD}"/>
  </bookViews>
  <sheets>
    <sheet name="Sheet1" sheetId="1" r:id="rId1"/>
    <sheet name="empData" sheetId="3" r:id="rId2"/>
    <sheet name="shortcuts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2" i="3"/>
  <c r="C43" i="1"/>
  <c r="C40" i="1"/>
  <c r="D37" i="1"/>
  <c r="C37" i="1"/>
  <c r="D36" i="1"/>
  <c r="C36" i="1" s="1"/>
  <c r="C35" i="1"/>
  <c r="C32" i="1"/>
  <c r="C31" i="1"/>
  <c r="D28" i="1"/>
  <c r="C28" i="1"/>
  <c r="D27" i="1"/>
  <c r="C27" i="1"/>
  <c r="C24" i="1"/>
  <c r="C23" i="1"/>
  <c r="C22" i="1"/>
  <c r="C21" i="1"/>
  <c r="I3" i="1"/>
  <c r="H3" i="1"/>
  <c r="J2" i="1"/>
  <c r="H2" i="1"/>
</calcChain>
</file>

<file path=xl/sharedStrings.xml><?xml version="1.0" encoding="utf-8"?>
<sst xmlns="http://schemas.openxmlformats.org/spreadsheetml/2006/main" count="1005" uniqueCount="550">
  <si>
    <t>Sr.No</t>
  </si>
  <si>
    <t>Function Name</t>
  </si>
  <si>
    <t>Syntax</t>
  </si>
  <si>
    <t>Description</t>
  </si>
  <si>
    <t>CONCATENATE / CONCAT</t>
  </si>
  <si>
    <t>CONCATENATE(text1, text2, ...) / =CONCAT(text1, text2, ...)</t>
  </si>
  <si>
    <t>Joins multiple text strings into one.</t>
  </si>
  <si>
    <t>PROPER</t>
  </si>
  <si>
    <t>PROPER(text)</t>
  </si>
  <si>
    <t>Capitalizes the first letter of each word.</t>
  </si>
  <si>
    <t>UPPER</t>
  </si>
  <si>
    <t>UPPER(text)</t>
  </si>
  <si>
    <t>Converts text to uppercase.</t>
  </si>
  <si>
    <t>LOWER</t>
  </si>
  <si>
    <t>LOWER(text)</t>
  </si>
  <si>
    <t>Converts text to lowercase.</t>
  </si>
  <si>
    <t>LEFT</t>
  </si>
  <si>
    <t>LEFT(text, num_chars)</t>
  </si>
  <si>
    <t>Extracts characters from the start of a text string.</t>
  </si>
  <si>
    <t>RIGHT</t>
  </si>
  <si>
    <t>RIGHT(text, num_chars)</t>
  </si>
  <si>
    <t>Extracts characters from the end of a text string.</t>
  </si>
  <si>
    <t>MID</t>
  </si>
  <si>
    <t>MID(text, start_num, num_chars)</t>
  </si>
  <si>
    <t>Extracts characters from the middle of a text string.</t>
  </si>
  <si>
    <t>LEN</t>
  </si>
  <si>
    <t>LEN(text)</t>
  </si>
  <si>
    <t>Returns the length of a text string.</t>
  </si>
  <si>
    <t>FIND</t>
  </si>
  <si>
    <t>FIND(find_text, within_text, [start_num])</t>
  </si>
  <si>
    <t>Finds the position of a substring (case-sensitive).</t>
  </si>
  <si>
    <t>SEARCH</t>
  </si>
  <si>
    <t>SEARCH(find_text, within_text, [start_num])</t>
  </si>
  <si>
    <t>Finds the position of a substring (not case-sensitive).</t>
  </si>
  <si>
    <t>SUBSTITUTE</t>
  </si>
  <si>
    <t>SUBSTITUTE(text, old_text, new_text, [instance_num])</t>
  </si>
  <si>
    <t>Replaces a specific text within a string.</t>
  </si>
  <si>
    <t>REPLACE</t>
  </si>
  <si>
    <t>REPLACE(old_text, start_num, num_chars, new_text)</t>
  </si>
  <si>
    <t>Replaces part of a text string based on position.</t>
  </si>
  <si>
    <t>CLEAN</t>
  </si>
  <si>
    <t>CLEAN(text)</t>
  </si>
  <si>
    <t>Removes non-printable characters from text.</t>
  </si>
  <si>
    <t>EXACT</t>
  </si>
  <si>
    <t>EXACT(text1, text2)</t>
  </si>
  <si>
    <t>Checks if two text values are identical (case-sensitive).</t>
  </si>
  <si>
    <t>TRIM</t>
  </si>
  <si>
    <t>TRIM(text)</t>
  </si>
  <si>
    <t>Removes extra spaces from text.</t>
  </si>
  <si>
    <t>TEXTJOIN</t>
  </si>
  <si>
    <t>TEXTJOIN(delimiter, ignore_empty, text1, text2, …)</t>
  </si>
  <si>
    <t>Joins multiple text values with a delimiter.</t>
  </si>
  <si>
    <t xml:space="preserve">hello </t>
  </si>
  <si>
    <t>world</t>
  </si>
  <si>
    <t>Good morning</t>
  </si>
  <si>
    <t>Shortcut</t>
  </si>
  <si>
    <t>To select all cell</t>
  </si>
  <si>
    <t>Ctrl+A</t>
  </si>
  <si>
    <t>Select current Row</t>
  </si>
  <si>
    <t>Shift + space</t>
  </si>
  <si>
    <t>Select current column</t>
  </si>
  <si>
    <t>Ctrl + space</t>
  </si>
  <si>
    <t>Add Row / Column</t>
  </si>
  <si>
    <t>Ctrl + Shift + =</t>
  </si>
  <si>
    <t>Delete Row / Column</t>
  </si>
  <si>
    <t>Ctrl+ -</t>
  </si>
  <si>
    <t>AutoFit Column Width</t>
  </si>
  <si>
    <t>Alt+H+O+I</t>
  </si>
  <si>
    <t>Hello! , Welcome to my learning course</t>
  </si>
  <si>
    <t>hello , welcome , bye</t>
  </si>
  <si>
    <t>bye</t>
  </si>
  <si>
    <t>Bye</t>
  </si>
  <si>
    <t>Hello! , Welcome to my excel learning course</t>
  </si>
  <si>
    <t>Mansi</t>
  </si>
  <si>
    <t>mansi</t>
  </si>
  <si>
    <t>SAME</t>
  </si>
  <si>
    <t>Welcome               to      my        show</t>
  </si>
  <si>
    <t>Employee ID</t>
  </si>
  <si>
    <t>Employee Name</t>
  </si>
  <si>
    <t>Lower</t>
  </si>
  <si>
    <t>Upper</t>
  </si>
  <si>
    <t>Proper</t>
  </si>
  <si>
    <t>Manager Name</t>
  </si>
  <si>
    <t>Department</t>
  </si>
  <si>
    <t>Qualification</t>
  </si>
  <si>
    <t>Gender</t>
  </si>
  <si>
    <t>Experience</t>
  </si>
  <si>
    <t>Salary</t>
  </si>
  <si>
    <t>Concat</t>
  </si>
  <si>
    <t>E001</t>
  </si>
  <si>
    <t>Pooja Thorat</t>
  </si>
  <si>
    <t>pooja thorat</t>
  </si>
  <si>
    <t>POOJA THORAT</t>
  </si>
  <si>
    <t>Vishal Bhosale</t>
  </si>
  <si>
    <t>Finance</t>
  </si>
  <si>
    <t>Bachelor</t>
  </si>
  <si>
    <t>Female</t>
  </si>
  <si>
    <t>E002</t>
  </si>
  <si>
    <t>Shruti Sawant</t>
  </si>
  <si>
    <t>shruti sawant</t>
  </si>
  <si>
    <t/>
  </si>
  <si>
    <t>Neelam Sawant</t>
  </si>
  <si>
    <t>Engineering</t>
  </si>
  <si>
    <t>PhD</t>
  </si>
  <si>
    <t>Male</t>
  </si>
  <si>
    <t>E003</t>
  </si>
  <si>
    <t>Rupal Kulkarni</t>
  </si>
  <si>
    <t>rupal kulkarni</t>
  </si>
  <si>
    <t>RUPAL KULKARNI</t>
  </si>
  <si>
    <t>Aparna Jadhav</t>
  </si>
  <si>
    <t>HR</t>
  </si>
  <si>
    <t>E004</t>
  </si>
  <si>
    <t>Shweta Pawar</t>
  </si>
  <si>
    <t>shweta pawar</t>
  </si>
  <si>
    <t>SHWETA PAWAR</t>
  </si>
  <si>
    <t>Siddhi Bhosale</t>
  </si>
  <si>
    <t>Sales</t>
  </si>
  <si>
    <t>E005</t>
  </si>
  <si>
    <t>Snehal Jadhav</t>
  </si>
  <si>
    <t>snehal jadhav</t>
  </si>
  <si>
    <t>SNEHAL JADHAV</t>
  </si>
  <si>
    <t>Siddhi Rathod</t>
  </si>
  <si>
    <t>E006</t>
  </si>
  <si>
    <t>Nikita Pawar</t>
  </si>
  <si>
    <t>nikita pawar</t>
  </si>
  <si>
    <t>NIKITA PAWAR</t>
  </si>
  <si>
    <t>Siddhi Kulkarni</t>
  </si>
  <si>
    <t>E007</t>
  </si>
  <si>
    <t>Nikhil Rathod</t>
  </si>
  <si>
    <t>nikhil rathod</t>
  </si>
  <si>
    <t>NIKHIL RATHOD</t>
  </si>
  <si>
    <t>Siddhi Pawar</t>
  </si>
  <si>
    <t>E008</t>
  </si>
  <si>
    <t>Amol Gore</t>
  </si>
  <si>
    <t>amol gore</t>
  </si>
  <si>
    <t>AMOL GORE</t>
  </si>
  <si>
    <t>Ravi Rathod</t>
  </si>
  <si>
    <t>Operations</t>
  </si>
  <si>
    <t>E009</t>
  </si>
  <si>
    <t>Jayesh Tambe</t>
  </si>
  <si>
    <t>jayesh tambe</t>
  </si>
  <si>
    <t>JAYESH TAMBE</t>
  </si>
  <si>
    <t>Sandeep Gore</t>
  </si>
  <si>
    <t>Diploma</t>
  </si>
  <si>
    <t>E010</t>
  </si>
  <si>
    <t>Ishwar Mane</t>
  </si>
  <si>
    <t>ishwar mane</t>
  </si>
  <si>
    <t>ISHWAR MANE</t>
  </si>
  <si>
    <t>Vishal Patil</t>
  </si>
  <si>
    <t>Marketing</t>
  </si>
  <si>
    <t>E011</t>
  </si>
  <si>
    <t>Tejas Joshi</t>
  </si>
  <si>
    <t>tejas joshi</t>
  </si>
  <si>
    <t>TEJAS JOSHI</t>
  </si>
  <si>
    <t>Vishal Jadhav</t>
  </si>
  <si>
    <t>E012</t>
  </si>
  <si>
    <t>Deepak Jadhav</t>
  </si>
  <si>
    <t>deepak jadhav</t>
  </si>
  <si>
    <t>DEEPAK JADHAV</t>
  </si>
  <si>
    <t>Ravi Sawant</t>
  </si>
  <si>
    <t>E013</t>
  </si>
  <si>
    <t>Madhavi Kadam</t>
  </si>
  <si>
    <t>madhavi kadam</t>
  </si>
  <si>
    <t>MADHAVI KADAM</t>
  </si>
  <si>
    <t>Tejas Patil</t>
  </si>
  <si>
    <t>E014</t>
  </si>
  <si>
    <t>Aparna Deshmukh</t>
  </si>
  <si>
    <t>aparna deshmukh</t>
  </si>
  <si>
    <t>APARNA DESHMUKH</t>
  </si>
  <si>
    <t>Ravi Kulkarni</t>
  </si>
  <si>
    <t>Master</t>
  </si>
  <si>
    <t>E015</t>
  </si>
  <si>
    <t>Aadesh Nimbalkar</t>
  </si>
  <si>
    <t>aadesh nimbalkar</t>
  </si>
  <si>
    <t>AADESH NIMBALKAR</t>
  </si>
  <si>
    <t>E016</t>
  </si>
  <si>
    <t>Aadesh Rathod</t>
  </si>
  <si>
    <t>aadesh rathod</t>
  </si>
  <si>
    <t>AADESH RATHOD</t>
  </si>
  <si>
    <t>Ravi Shinde</t>
  </si>
  <si>
    <t>E017</t>
  </si>
  <si>
    <t>Gaurav Nimbalkar</t>
  </si>
  <si>
    <t>gaurav nimbalkar</t>
  </si>
  <si>
    <t>GAURAV NIMBALKAR</t>
  </si>
  <si>
    <t>E018</t>
  </si>
  <si>
    <t>Bhushan Thorat</t>
  </si>
  <si>
    <t>bhushan thorat</t>
  </si>
  <si>
    <t>BHUSHAN THORAT</t>
  </si>
  <si>
    <t>Ravi Gore</t>
  </si>
  <si>
    <t>E019</t>
  </si>
  <si>
    <t>Ishwar Jadhav</t>
  </si>
  <si>
    <t>ishwar jadhav</t>
  </si>
  <si>
    <t>ISHWAR JADHAV</t>
  </si>
  <si>
    <t>Sandeep Jadhav</t>
  </si>
  <si>
    <t>E020</t>
  </si>
  <si>
    <t>Sushma Sawant</t>
  </si>
  <si>
    <t>sushma sawant</t>
  </si>
  <si>
    <t>SUSHMA SAWANT</t>
  </si>
  <si>
    <t>Kunal Shinde</t>
  </si>
  <si>
    <t>E021</t>
  </si>
  <si>
    <t>Nikhil Deshmukh</t>
  </si>
  <si>
    <t>nikhil deshmukh</t>
  </si>
  <si>
    <t>NIKHIL DESHMUKH</t>
  </si>
  <si>
    <t>E022</t>
  </si>
  <si>
    <t>Ashwini Patil</t>
  </si>
  <si>
    <t>ashwini patil</t>
  </si>
  <si>
    <t>ASHWINI PATIL</t>
  </si>
  <si>
    <t>Ravi Deshmukh</t>
  </si>
  <si>
    <t>E023</t>
  </si>
  <si>
    <t>Sachin Thorat</t>
  </si>
  <si>
    <t>sachin thorat</t>
  </si>
  <si>
    <t>SACHIN THORAT</t>
  </si>
  <si>
    <t>Kunal Jadhav</t>
  </si>
  <si>
    <t>E024</t>
  </si>
  <si>
    <t>Nikhil Mane</t>
  </si>
  <si>
    <t>nikhil mane</t>
  </si>
  <si>
    <t>NIKHIL MANE</t>
  </si>
  <si>
    <t>E025</t>
  </si>
  <si>
    <t>Ishwar Deshmukh</t>
  </si>
  <si>
    <t>ishwar deshmukh</t>
  </si>
  <si>
    <t>ISHWAR DESHMUKH</t>
  </si>
  <si>
    <t>Tejas Kulkarni</t>
  </si>
  <si>
    <t>E026</t>
  </si>
  <si>
    <t>Dinesh Gore</t>
  </si>
  <si>
    <t>dinesh gore</t>
  </si>
  <si>
    <t>DINESH GORE</t>
  </si>
  <si>
    <t>Shubham Kulkarni</t>
  </si>
  <si>
    <t>E027</t>
  </si>
  <si>
    <t>Gaurav Thorat</t>
  </si>
  <si>
    <t>gaurav thorat</t>
  </si>
  <si>
    <t>GAURAV THORAT</t>
  </si>
  <si>
    <t>Aparna Shinde</t>
  </si>
  <si>
    <t>E028</t>
  </si>
  <si>
    <t>Bhushan Sawant</t>
  </si>
  <si>
    <t>bhushan sawant</t>
  </si>
  <si>
    <t>BHUSHAN SAWANT</t>
  </si>
  <si>
    <t>Aparna Sawant</t>
  </si>
  <si>
    <t>E029</t>
  </si>
  <si>
    <t>Rajesh Patil</t>
  </si>
  <si>
    <t>E030</t>
  </si>
  <si>
    <t>Swati Sawant</t>
  </si>
  <si>
    <t>swati sawant</t>
  </si>
  <si>
    <t>SWATI SAWANT</t>
  </si>
  <si>
    <t>Siddhi Shinde</t>
  </si>
  <si>
    <t>E031</t>
  </si>
  <si>
    <t>Shubham Deshmukh</t>
  </si>
  <si>
    <t>shubham deshmukh</t>
  </si>
  <si>
    <t>SHUBHAM DESHMUKH</t>
  </si>
  <si>
    <t>Rajesh Rathod</t>
  </si>
  <si>
    <t>E032</t>
  </si>
  <si>
    <t>E033</t>
  </si>
  <si>
    <t>Shraddha Tambe</t>
  </si>
  <si>
    <t>shraddha tambe</t>
  </si>
  <si>
    <t>SHRADDHA TAMBE</t>
  </si>
  <si>
    <t>Rajesh Sawant</t>
  </si>
  <si>
    <t>E034</t>
  </si>
  <si>
    <t>Jayesh Bhosale</t>
  </si>
  <si>
    <t>jayesh bhosale</t>
  </si>
  <si>
    <t>JAYESH BHOSALE</t>
  </si>
  <si>
    <t>Sandeep Bhosale</t>
  </si>
  <si>
    <t>E035</t>
  </si>
  <si>
    <t>Madhavi Bhagat</t>
  </si>
  <si>
    <t>madhavi bhagat</t>
  </si>
  <si>
    <t>MADHAVI BHAGAT</t>
  </si>
  <si>
    <t>Tejas Gore</t>
  </si>
  <si>
    <t>E036</t>
  </si>
  <si>
    <t>Harshada Bhagat</t>
  </si>
  <si>
    <t>harshada bhagat</t>
  </si>
  <si>
    <t>HARSHADA BHAGAT</t>
  </si>
  <si>
    <t>Rajesh Pawar</t>
  </si>
  <si>
    <t>E037</t>
  </si>
  <si>
    <t>Rohit Tambe</t>
  </si>
  <si>
    <t>rohit tambe</t>
  </si>
  <si>
    <t>ROHIT TAMBE</t>
  </si>
  <si>
    <t>Neelam Jadhav</t>
  </si>
  <si>
    <t>E038</t>
  </si>
  <si>
    <t>Manisha Sawant</t>
  </si>
  <si>
    <t>manisha sawant</t>
  </si>
  <si>
    <t>MANISHA SAWANT</t>
  </si>
  <si>
    <t>Ravi Pawar</t>
  </si>
  <si>
    <t>E039</t>
  </si>
  <si>
    <t>Komal Bhosale</t>
  </si>
  <si>
    <t>komal bhosale</t>
  </si>
  <si>
    <t>KOMAL BHOSALE</t>
  </si>
  <si>
    <t>Aparna Gore</t>
  </si>
  <si>
    <t>E040</t>
  </si>
  <si>
    <t>Deepak Thorat</t>
  </si>
  <si>
    <t>deepak thorat</t>
  </si>
  <si>
    <t>DEEPAK THORAT</t>
  </si>
  <si>
    <t>Ravi Bhosale</t>
  </si>
  <si>
    <t>E041</t>
  </si>
  <si>
    <t>Sanjay Chavan</t>
  </si>
  <si>
    <t>sanjay chavan</t>
  </si>
  <si>
    <t>SANJAY CHAVAN</t>
  </si>
  <si>
    <t>Rajesh Kulkarni</t>
  </si>
  <si>
    <t>E042</t>
  </si>
  <si>
    <t>Shruti Patil</t>
  </si>
  <si>
    <t>shruti patil</t>
  </si>
  <si>
    <t>SHRUTI PATIL</t>
  </si>
  <si>
    <t>Kunal Deshmukh</t>
  </si>
  <si>
    <t>E043</t>
  </si>
  <si>
    <t>Tejas Thorat</t>
  </si>
  <si>
    <t>tejas thorat</t>
  </si>
  <si>
    <t>TEJAS THORAT</t>
  </si>
  <si>
    <t>Sandeep Rathod</t>
  </si>
  <si>
    <t>E044</t>
  </si>
  <si>
    <t>Harshada Rathod</t>
  </si>
  <si>
    <t>harshada rathod</t>
  </si>
  <si>
    <t>HARSHADA RATHOD</t>
  </si>
  <si>
    <t>E045</t>
  </si>
  <si>
    <t>Shraddha Gore</t>
  </si>
  <si>
    <t>shraddha gore</t>
  </si>
  <si>
    <t>SHRADDHA GORE</t>
  </si>
  <si>
    <t>Tejas Deshmukh</t>
  </si>
  <si>
    <t>E046</t>
  </si>
  <si>
    <t>Rajiv Kulkarni</t>
  </si>
  <si>
    <t>rajiv kulkarni</t>
  </si>
  <si>
    <t>RAJIV KULKARNI</t>
  </si>
  <si>
    <t>Sandeep Deshmukh</t>
  </si>
  <si>
    <t>E047</t>
  </si>
  <si>
    <t>siddhi pawar</t>
  </si>
  <si>
    <t>SIDDHI PAWAR</t>
  </si>
  <si>
    <t>Vishal Rathod</t>
  </si>
  <si>
    <t>E048</t>
  </si>
  <si>
    <t>Sachin Deshmukh</t>
  </si>
  <si>
    <t>sachin deshmukh</t>
  </si>
  <si>
    <t>SACHIN DESHMUKH</t>
  </si>
  <si>
    <t>E049</t>
  </si>
  <si>
    <t>Yogesh Gajbhiye</t>
  </si>
  <si>
    <t>yogesh gajbhiye</t>
  </si>
  <si>
    <t>YOGESH GAJBHIYE</t>
  </si>
  <si>
    <t>E050</t>
  </si>
  <si>
    <t>Manisha Jadhav</t>
  </si>
  <si>
    <t>manisha jadhav</t>
  </si>
  <si>
    <t>MANISHA JADHAV</t>
  </si>
  <si>
    <t>Sandeep Shinde</t>
  </si>
  <si>
    <t>E051</t>
  </si>
  <si>
    <t>Dinesh Sawant</t>
  </si>
  <si>
    <t>dinesh sawant</t>
  </si>
  <si>
    <t>DINESH SAWANT</t>
  </si>
  <si>
    <t>Tejas Rathod</t>
  </si>
  <si>
    <t>E052</t>
  </si>
  <si>
    <t>Vandana Jadhav</t>
  </si>
  <si>
    <t>vandana jadhav</t>
  </si>
  <si>
    <t>VANDANA JADHAV</t>
  </si>
  <si>
    <t>Kunal Sawant</t>
  </si>
  <si>
    <t>E053</t>
  </si>
  <si>
    <t>Ishwar Rathod</t>
  </si>
  <si>
    <t>ishwar rathod</t>
  </si>
  <si>
    <t>ISHWAR RATHOD</t>
  </si>
  <si>
    <t>E054</t>
  </si>
  <si>
    <t>Bhushan Tambe</t>
  </si>
  <si>
    <t>bhushan tambe</t>
  </si>
  <si>
    <t>BHUSHAN TAMBE</t>
  </si>
  <si>
    <t>E055</t>
  </si>
  <si>
    <t>Shweta Nimbalkar</t>
  </si>
  <si>
    <t>shweta nimbalkar</t>
  </si>
  <si>
    <t>SHWETA NIMBALKAR</t>
  </si>
  <si>
    <t>Aparna Rathod</t>
  </si>
  <si>
    <t>E056</t>
  </si>
  <si>
    <t>Swati Kulkarni</t>
  </si>
  <si>
    <t>swati kulkarni</t>
  </si>
  <si>
    <t>SWATI KULKARNI</t>
  </si>
  <si>
    <t>E057</t>
  </si>
  <si>
    <t>Vishal Chavan</t>
  </si>
  <si>
    <t>vishal chavan</t>
  </si>
  <si>
    <t>VISHAL CHAVAN</t>
  </si>
  <si>
    <t>E058</t>
  </si>
  <si>
    <t>Rupal Thorat</t>
  </si>
  <si>
    <t>rupal thorat</t>
  </si>
  <si>
    <t>RUPAL THORAT</t>
  </si>
  <si>
    <t>Neelam Deshmukh</t>
  </si>
  <si>
    <t>E059</t>
  </si>
  <si>
    <t>Kunal Tambe</t>
  </si>
  <si>
    <t>kunal tambe</t>
  </si>
  <si>
    <t>KUNAL TAMBE</t>
  </si>
  <si>
    <t>E060</t>
  </si>
  <si>
    <t>Bhushan Kulkarni</t>
  </si>
  <si>
    <t>bhushan kulkarni</t>
  </si>
  <si>
    <t>BHUSHAN KULKARNI</t>
  </si>
  <si>
    <t>Siddhi Deshmukh</t>
  </si>
  <si>
    <t>E061</t>
  </si>
  <si>
    <t>Dinesh Kadam</t>
  </si>
  <si>
    <t>dinesh kadam</t>
  </si>
  <si>
    <t>DINESH KADAM</t>
  </si>
  <si>
    <t>E062</t>
  </si>
  <si>
    <t>Aishwarya Bhosale</t>
  </si>
  <si>
    <t>aishwarya bhosale</t>
  </si>
  <si>
    <t>AISHWARYA BHOSALE</t>
  </si>
  <si>
    <t>E063</t>
  </si>
  <si>
    <t>aparna gore</t>
  </si>
  <si>
    <t>APARNA GORE</t>
  </si>
  <si>
    <t>Aparna Bhosale</t>
  </si>
  <si>
    <t>E064</t>
  </si>
  <si>
    <t>Vinay Jadhav</t>
  </si>
  <si>
    <t>vinay jadhav</t>
  </si>
  <si>
    <t>VINAY JADHAV</t>
  </si>
  <si>
    <t>Sandeep Sawant</t>
  </si>
  <si>
    <t>E065</t>
  </si>
  <si>
    <t>Neelam Shinde</t>
  </si>
  <si>
    <t>E066</t>
  </si>
  <si>
    <t>Dinesh Patil</t>
  </si>
  <si>
    <t>dinesh patil</t>
  </si>
  <si>
    <t>DINESH PATIL</t>
  </si>
  <si>
    <t>Aparna Pawar</t>
  </si>
  <si>
    <t>E067</t>
  </si>
  <si>
    <t>Sanjay Deshmukh</t>
  </si>
  <si>
    <t>sanjay deshmukh</t>
  </si>
  <si>
    <t>SANJAY DESHMUKH</t>
  </si>
  <si>
    <t>Siddhi Jadhav</t>
  </si>
  <si>
    <t>E068</t>
  </si>
  <si>
    <t>Vikas Patil</t>
  </si>
  <si>
    <t>vikas patil</t>
  </si>
  <si>
    <t>VIKAS PATIL</t>
  </si>
  <si>
    <t>E069</t>
  </si>
  <si>
    <t>Shweta Patil</t>
  </si>
  <si>
    <t>shweta patil</t>
  </si>
  <si>
    <t>SHWETA PATIL</t>
  </si>
  <si>
    <t>Neelam Rathod</t>
  </si>
  <si>
    <t>E070</t>
  </si>
  <si>
    <t>Madhavi Joshi</t>
  </si>
  <si>
    <t>madhavi joshi</t>
  </si>
  <si>
    <t>MADHAVI JOSHI</t>
  </si>
  <si>
    <t>E071</t>
  </si>
  <si>
    <t>Nikhil Patil</t>
  </si>
  <si>
    <t>nikhil patil</t>
  </si>
  <si>
    <t>NIKHIL PATIL</t>
  </si>
  <si>
    <t>Rajesh Jadhav</t>
  </si>
  <si>
    <t>E072</t>
  </si>
  <si>
    <t>Dinesh Bhosale</t>
  </si>
  <si>
    <t>dinesh bhosale</t>
  </si>
  <si>
    <t>DINESH BHOSALE</t>
  </si>
  <si>
    <t>E073</t>
  </si>
  <si>
    <t>Shruti Gore</t>
  </si>
  <si>
    <t>shruti gore</t>
  </si>
  <si>
    <t>SHRUTI GORE</t>
  </si>
  <si>
    <t>Siddhi Sawant</t>
  </si>
  <si>
    <t>E074</t>
  </si>
  <si>
    <t>Vaibhav Nimbalkar</t>
  </si>
  <si>
    <t>vaibhav nimbalkar</t>
  </si>
  <si>
    <t>VAIBHAV NIMBALKAR</t>
  </si>
  <si>
    <t>E075</t>
  </si>
  <si>
    <t>Ravindra Tambe</t>
  </si>
  <si>
    <t>ravindra tambe</t>
  </si>
  <si>
    <t>RAVINDRA TAMBE</t>
  </si>
  <si>
    <t>E076</t>
  </si>
  <si>
    <t>Ashwini Pawar</t>
  </si>
  <si>
    <t>ashwini pawar</t>
  </si>
  <si>
    <t>ASHWINI PAWAR</t>
  </si>
  <si>
    <t>Siddhi Patil</t>
  </si>
  <si>
    <t>E077</t>
  </si>
  <si>
    <t>Yogesh Rathod</t>
  </si>
  <si>
    <t>yogesh rathod</t>
  </si>
  <si>
    <t>YOGESH RATHOD</t>
  </si>
  <si>
    <t>Sandeep Patil</t>
  </si>
  <si>
    <t>E078</t>
  </si>
  <si>
    <t>Pooja Nimbalkar</t>
  </si>
  <si>
    <t>pooja nimbalkar</t>
  </si>
  <si>
    <t>POOJA NIMBALKAR</t>
  </si>
  <si>
    <t>Shubham Patil</t>
  </si>
  <si>
    <t>E079</t>
  </si>
  <si>
    <t>Aishwarya Nimbalkar</t>
  </si>
  <si>
    <t>aishwarya nimbalkar</t>
  </si>
  <si>
    <t>AISHWARYA NIMBALKAR</t>
  </si>
  <si>
    <t>E080</t>
  </si>
  <si>
    <t>Ishwar Tambe</t>
  </si>
  <si>
    <t>ishwar tambe</t>
  </si>
  <si>
    <t>ISHWAR TAMBE</t>
  </si>
  <si>
    <t>E081</t>
  </si>
  <si>
    <t>Harshada Patil</t>
  </si>
  <si>
    <t>harshada patil</t>
  </si>
  <si>
    <t>HARSHADA PATIL</t>
  </si>
  <si>
    <t>E082</t>
  </si>
  <si>
    <t>Yogesh Kulkarni</t>
  </si>
  <si>
    <t>yogesh kulkarni</t>
  </si>
  <si>
    <t>YOGESH KULKARNI</t>
  </si>
  <si>
    <t>E083</t>
  </si>
  <si>
    <t>Pradeep Gajbhiye</t>
  </si>
  <si>
    <t>pradeep gajbhiye</t>
  </si>
  <si>
    <t>PRADEEP GAJBHIYE</t>
  </si>
  <si>
    <t>Tejas Shinde</t>
  </si>
  <si>
    <t>E084</t>
  </si>
  <si>
    <t>Swati Tiwari</t>
  </si>
  <si>
    <t>swati tiwari</t>
  </si>
  <si>
    <t>SWATI TIWARI</t>
  </si>
  <si>
    <t>Shubham Jadhav</t>
  </si>
  <si>
    <t>E085</t>
  </si>
  <si>
    <t>Pooja Sawant</t>
  </si>
  <si>
    <t>pooja sawant</t>
  </si>
  <si>
    <t>POOJA SAWANT</t>
  </si>
  <si>
    <t>E086</t>
  </si>
  <si>
    <t>Sachin Joshi</t>
  </si>
  <si>
    <t>sachin joshi</t>
  </si>
  <si>
    <t>SACHIN JOSHI</t>
  </si>
  <si>
    <t>E087</t>
  </si>
  <si>
    <t>Komal Deshmukh</t>
  </si>
  <si>
    <t>komal deshmukh</t>
  </si>
  <si>
    <t>KOMAL DESHMUKH</t>
  </si>
  <si>
    <t>E088</t>
  </si>
  <si>
    <t>Pradeep Chavan</t>
  </si>
  <si>
    <t>pradeep chavan</t>
  </si>
  <si>
    <t>PRADEEP CHAVAN</t>
  </si>
  <si>
    <t>E089</t>
  </si>
  <si>
    <t>Amol Tambe</t>
  </si>
  <si>
    <t>amol tambe</t>
  </si>
  <si>
    <t>AMOL TAMBE</t>
  </si>
  <si>
    <t>E090</t>
  </si>
  <si>
    <t>Dinesh Tambe</t>
  </si>
  <si>
    <t>dinesh tambe</t>
  </si>
  <si>
    <t>DINESH TAMBE</t>
  </si>
  <si>
    <t>E091</t>
  </si>
  <si>
    <t>Sangeeta Jadhav</t>
  </si>
  <si>
    <t>sangeeta jadhav</t>
  </si>
  <si>
    <t>SANGEETA JADHAV</t>
  </si>
  <si>
    <t>E092</t>
  </si>
  <si>
    <t>Shubhangi Nimbalkar</t>
  </si>
  <si>
    <t>shubhangi nimbalkar</t>
  </si>
  <si>
    <t>SHUBHANGI NIMBALKAR</t>
  </si>
  <si>
    <t>E093</t>
  </si>
  <si>
    <t>Namrata Gajbhiye</t>
  </si>
  <si>
    <t>namrata gajbhiye</t>
  </si>
  <si>
    <t>NAMRATA GAJBHIYE</t>
  </si>
  <si>
    <t>E094</t>
  </si>
  <si>
    <t>Nikita Shinde</t>
  </si>
  <si>
    <t>nikita shinde</t>
  </si>
  <si>
    <t>NIKITA SHINDE</t>
  </si>
  <si>
    <t>E095</t>
  </si>
  <si>
    <t>Shruti Shinde</t>
  </si>
  <si>
    <t>shruti shinde</t>
  </si>
  <si>
    <t>SHRUTI SHINDE</t>
  </si>
  <si>
    <t>Aparna Kulkarni</t>
  </si>
  <si>
    <t>E096</t>
  </si>
  <si>
    <t>Gaurav Pawar</t>
  </si>
  <si>
    <t>gaurav pawar</t>
  </si>
  <si>
    <t>GAURAV PAWAR</t>
  </si>
  <si>
    <t>E097</t>
  </si>
  <si>
    <t>Tejas Mane</t>
  </si>
  <si>
    <t>tejas mane</t>
  </si>
  <si>
    <t>TEJAS MANE</t>
  </si>
  <si>
    <t>E098</t>
  </si>
  <si>
    <t>E099</t>
  </si>
  <si>
    <t>Neha Jadhav</t>
  </si>
  <si>
    <t>neha jadhav</t>
  </si>
  <si>
    <t>NEHA JADHAV</t>
  </si>
  <si>
    <t>E100</t>
  </si>
  <si>
    <t>Neha Chavan</t>
  </si>
  <si>
    <t>neha chavan</t>
  </si>
  <si>
    <t>NEHA CHAVAN</t>
  </si>
  <si>
    <t>Shubham Rathod</t>
  </si>
  <si>
    <t>textjoin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</si>
</sst>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1"/>
    <xf numFmtId="0" fontId="1" fillId="0" borderId="0" xfId="0" applyFont="1"/>
    <xf numFmtId="0" fontId="0" fillId="2" borderId="0" xfId="0" applyFill="1"/>
    <xf numFmtId="0" fontId="0" fillId="5" borderId="0" xfId="0" applyFill="1"/>
    <xf numFmtId="0" fontId="0" fillId="0" borderId="0" xfId="0"/>
    <xf numFmtId="0" fontId="1" fillId="0" borderId="0" xfId="0" applyFont="1"/>
    <xf numFmtId="0" fontId="0" fillId="2" borderId="0" xfId="0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 applyAlignment="1">
      <alignment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BD7C-A5F7-404A-8F11-C11F5F465E69}">
  <dimension ref="A1:K43"/>
  <sheetViews>
    <sheetView workbookViewId="0">
      <selection activeCell="C44" sqref="C44"/>
    </sheetView>
  </sheetViews>
  <sheetFormatPr defaultRowHeight="14.4" x14ac:dyDescent="0.3"/>
  <cols>
    <col min="2" max="2" width="22.44140625" bestFit="1" customWidth="1"/>
    <col min="3" max="3" width="50.21875" bestFit="1" customWidth="1"/>
    <col min="4" max="4" width="46" bestFit="1" customWidth="1"/>
    <col min="8" max="8" width="12.66406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11" x14ac:dyDescent="0.3">
      <c r="A2">
        <v>1</v>
      </c>
      <c r="B2" t="s">
        <v>4</v>
      </c>
      <c r="C2" t="s">
        <v>5</v>
      </c>
      <c r="D2" t="s">
        <v>6</v>
      </c>
      <c r="F2" t="s">
        <v>52</v>
      </c>
      <c r="G2" t="s">
        <v>53</v>
      </c>
      <c r="H2" s="3" t="str">
        <f>CONCATENATE(F2,G2)</f>
        <v>hello world</v>
      </c>
      <c r="I2" s="3"/>
      <c r="J2" s="3" t="str">
        <f>_xlfn.CONCAT(F2,G2)</f>
        <v>hello world</v>
      </c>
      <c r="K2" s="3"/>
    </row>
    <row r="3" spans="1:11" x14ac:dyDescent="0.3">
      <c r="A3">
        <v>2</v>
      </c>
      <c r="B3" t="s">
        <v>7</v>
      </c>
      <c r="C3" t="s">
        <v>8</v>
      </c>
      <c r="D3" t="s">
        <v>9</v>
      </c>
      <c r="F3" t="s">
        <v>54</v>
      </c>
      <c r="H3" s="1" t="str">
        <f>PROPER(F3)</f>
        <v>Good Morning</v>
      </c>
      <c r="I3" t="str">
        <f>PROPER(G3)</f>
        <v/>
      </c>
    </row>
    <row r="4" spans="1:11" x14ac:dyDescent="0.3">
      <c r="A4">
        <v>3</v>
      </c>
      <c r="B4" t="s">
        <v>10</v>
      </c>
      <c r="C4" t="s">
        <v>11</v>
      </c>
      <c r="D4" t="s">
        <v>12</v>
      </c>
    </row>
    <row r="5" spans="1:11" x14ac:dyDescent="0.3">
      <c r="A5">
        <v>4</v>
      </c>
      <c r="B5" t="s">
        <v>13</v>
      </c>
      <c r="C5" t="s">
        <v>14</v>
      </c>
      <c r="D5" t="s">
        <v>15</v>
      </c>
    </row>
    <row r="6" spans="1:11" x14ac:dyDescent="0.3">
      <c r="A6">
        <v>5</v>
      </c>
      <c r="B6" t="s">
        <v>16</v>
      </c>
      <c r="C6" t="s">
        <v>17</v>
      </c>
      <c r="D6" t="s">
        <v>18</v>
      </c>
    </row>
    <row r="7" spans="1:11" x14ac:dyDescent="0.3">
      <c r="A7">
        <v>6</v>
      </c>
      <c r="B7" t="s">
        <v>19</v>
      </c>
      <c r="C7" t="s">
        <v>20</v>
      </c>
      <c r="D7" t="s">
        <v>21</v>
      </c>
    </row>
    <row r="8" spans="1:11" x14ac:dyDescent="0.3">
      <c r="A8">
        <v>7</v>
      </c>
      <c r="B8" t="s">
        <v>22</v>
      </c>
      <c r="C8" t="s">
        <v>23</v>
      </c>
      <c r="D8" t="s">
        <v>24</v>
      </c>
    </row>
    <row r="9" spans="1:11" x14ac:dyDescent="0.3">
      <c r="A9">
        <v>8</v>
      </c>
      <c r="B9" t="s">
        <v>25</v>
      </c>
      <c r="C9" t="s">
        <v>26</v>
      </c>
      <c r="D9" t="s">
        <v>27</v>
      </c>
    </row>
    <row r="10" spans="1:11" x14ac:dyDescent="0.3">
      <c r="A10">
        <v>9</v>
      </c>
      <c r="B10" t="s">
        <v>28</v>
      </c>
      <c r="C10" t="s">
        <v>29</v>
      </c>
      <c r="D10" t="s">
        <v>30</v>
      </c>
    </row>
    <row r="11" spans="1:11" x14ac:dyDescent="0.3">
      <c r="A11">
        <v>10</v>
      </c>
      <c r="B11" t="s">
        <v>31</v>
      </c>
      <c r="C11" t="s">
        <v>32</v>
      </c>
      <c r="D11" t="s">
        <v>33</v>
      </c>
    </row>
    <row r="12" spans="1:11" x14ac:dyDescent="0.3">
      <c r="A12">
        <v>11</v>
      </c>
      <c r="B12" t="s">
        <v>34</v>
      </c>
      <c r="C12" t="s">
        <v>35</v>
      </c>
      <c r="D12" t="s">
        <v>36</v>
      </c>
    </row>
    <row r="13" spans="1:11" x14ac:dyDescent="0.3">
      <c r="A13">
        <v>12</v>
      </c>
      <c r="B13" t="s">
        <v>37</v>
      </c>
      <c r="C13" t="s">
        <v>38</v>
      </c>
      <c r="D13" t="s">
        <v>39</v>
      </c>
    </row>
    <row r="14" spans="1:11" x14ac:dyDescent="0.3">
      <c r="A14">
        <v>13</v>
      </c>
      <c r="B14" t="s">
        <v>40</v>
      </c>
      <c r="C14" t="s">
        <v>41</v>
      </c>
      <c r="D14" t="s">
        <v>42</v>
      </c>
    </row>
    <row r="15" spans="1:11" x14ac:dyDescent="0.3">
      <c r="A15">
        <v>14</v>
      </c>
      <c r="B15" t="s">
        <v>43</v>
      </c>
      <c r="C15" t="s">
        <v>44</v>
      </c>
      <c r="D15" t="s">
        <v>45</v>
      </c>
    </row>
    <row r="16" spans="1:11" x14ac:dyDescent="0.3">
      <c r="A16">
        <v>15</v>
      </c>
      <c r="B16" t="s">
        <v>46</v>
      </c>
      <c r="C16" t="s">
        <v>47</v>
      </c>
      <c r="D16" t="s">
        <v>48</v>
      </c>
    </row>
    <row r="17" spans="1:6" x14ac:dyDescent="0.3">
      <c r="A17">
        <v>16</v>
      </c>
      <c r="B17" t="s">
        <v>49</v>
      </c>
      <c r="C17" t="s">
        <v>50</v>
      </c>
      <c r="D17" t="s">
        <v>51</v>
      </c>
    </row>
    <row r="20" spans="1:6" x14ac:dyDescent="0.3">
      <c r="C20" s="7" t="s">
        <v>68</v>
      </c>
    </row>
    <row r="21" spans="1:6" x14ac:dyDescent="0.3">
      <c r="B21" s="5" t="s">
        <v>16</v>
      </c>
      <c r="C21" t="str">
        <f>LEFT(C20,10)</f>
        <v>Hello! , W</v>
      </c>
    </row>
    <row r="22" spans="1:6" x14ac:dyDescent="0.3">
      <c r="B22" s="5" t="s">
        <v>19</v>
      </c>
      <c r="C22" t="str">
        <f>RIGHT(C20,20)</f>
        <v>o my learning course</v>
      </c>
    </row>
    <row r="23" spans="1:6" x14ac:dyDescent="0.3">
      <c r="B23" s="5" t="s">
        <v>22</v>
      </c>
      <c r="C23" t="str">
        <f>MID(C20,20,5)</f>
        <v xml:space="preserve"> my l</v>
      </c>
    </row>
    <row r="24" spans="1:6" x14ac:dyDescent="0.3">
      <c r="B24" s="5" t="s">
        <v>25</v>
      </c>
      <c r="C24">
        <f>LEN(C20)</f>
        <v>38</v>
      </c>
    </row>
    <row r="26" spans="1:6" x14ac:dyDescent="0.3">
      <c r="C26" s="4" t="s">
        <v>68</v>
      </c>
      <c r="D26" s="9" t="s">
        <v>69</v>
      </c>
      <c r="E26" t="s">
        <v>70</v>
      </c>
      <c r="F26" t="s">
        <v>71</v>
      </c>
    </row>
    <row r="27" spans="1:6" x14ac:dyDescent="0.3">
      <c r="B27" s="5" t="s">
        <v>28</v>
      </c>
      <c r="C27">
        <f>FIND(E26,D26)</f>
        <v>19</v>
      </c>
      <c r="D27" t="e">
        <f>FIND("Bye",D26)</f>
        <v>#VALUE!</v>
      </c>
    </row>
    <row r="28" spans="1:6" x14ac:dyDescent="0.3">
      <c r="B28" s="5" t="s">
        <v>31</v>
      </c>
      <c r="C28">
        <f>SEARCH(E26,D26)</f>
        <v>19</v>
      </c>
      <c r="D28">
        <f>SEARCH("Bye",D26)</f>
        <v>19</v>
      </c>
    </row>
    <row r="30" spans="1:6" x14ac:dyDescent="0.3">
      <c r="C30" s="8" t="s">
        <v>72</v>
      </c>
    </row>
    <row r="31" spans="1:6" x14ac:dyDescent="0.3">
      <c r="B31" s="5" t="s">
        <v>34</v>
      </c>
      <c r="C31" t="str">
        <f>SUBSTITUTE(C30,"excel","python")</f>
        <v>Hello! , Welcome to my python learning course</v>
      </c>
    </row>
    <row r="32" spans="1:6" x14ac:dyDescent="0.3">
      <c r="B32" s="5" t="s">
        <v>37</v>
      </c>
      <c r="C32" t="str">
        <f>REPLACE(C30,5,10,"-")</f>
        <v>Hell-me to my excel learning course</v>
      </c>
    </row>
    <row r="34" spans="2:7" x14ac:dyDescent="0.3">
      <c r="C34" s="10" t="s">
        <v>72</v>
      </c>
    </row>
    <row r="35" spans="2:7" x14ac:dyDescent="0.3">
      <c r="B35" s="5" t="s">
        <v>40</v>
      </c>
      <c r="C35" t="str">
        <f>CLEAN(C34)</f>
        <v>Hello! , Welcome to my excel learning course</v>
      </c>
    </row>
    <row r="36" spans="2:7" x14ac:dyDescent="0.3">
      <c r="B36" s="5" t="s">
        <v>43</v>
      </c>
      <c r="C36" t="b">
        <f>EXACT(D36,E36)</f>
        <v>0</v>
      </c>
      <c r="D36" t="b">
        <f>EXACT(F36,G36)</f>
        <v>1</v>
      </c>
      <c r="E36" t="s">
        <v>74</v>
      </c>
      <c r="F36" t="s">
        <v>73</v>
      </c>
      <c r="G36" t="s">
        <v>73</v>
      </c>
    </row>
    <row r="37" spans="2:7" x14ac:dyDescent="0.3">
      <c r="B37" s="5" t="s">
        <v>75</v>
      </c>
      <c r="C37" t="b">
        <f>E36=F36</f>
        <v>1</v>
      </c>
      <c r="D37" t="b">
        <f>G36=F36</f>
        <v>1</v>
      </c>
    </row>
    <row r="39" spans="2:7" x14ac:dyDescent="0.3">
      <c r="C39" s="11" t="s">
        <v>76</v>
      </c>
    </row>
    <row r="40" spans="2:7" x14ac:dyDescent="0.3">
      <c r="B40" s="5" t="s">
        <v>46</v>
      </c>
      <c r="C40" t="str">
        <f>TRIM(C39)</f>
        <v>Welcome to my show</v>
      </c>
    </row>
    <row r="43" spans="2:7" x14ac:dyDescent="0.3">
      <c r="B43" s="5" t="s">
        <v>49</v>
      </c>
      <c r="C43" t="str">
        <f>_xlfn.TEXTJOIN("-",TRUE,F36,F26,C40)</f>
        <v>Mansi-Bye-Welcome to my show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95B9-CE78-4557-B4E3-C308E1E3E172}">
  <dimension ref="A1:N101"/>
  <sheetViews>
    <sheetView tabSelected="1" zoomScale="78" workbookViewId="0">
      <selection activeCell="P13" sqref="P13"/>
    </sheetView>
  </sheetViews>
  <sheetFormatPr defaultRowHeight="14.4" x14ac:dyDescent="0.3"/>
  <cols>
    <col min="1" max="1" width="11.5546875" bestFit="1" customWidth="1"/>
    <col min="2" max="2" width="18.33203125" bestFit="1" customWidth="1"/>
    <col min="3" max="3" width="17.88671875" customWidth="1"/>
    <col min="4" max="4" width="21.88671875" bestFit="1" customWidth="1"/>
    <col min="5" max="5" width="18.33203125" bestFit="1" customWidth="1"/>
    <col min="7" max="7" width="16.88671875" bestFit="1" customWidth="1"/>
    <col min="8" max="8" width="11.21875" bestFit="1" customWidth="1"/>
    <col min="9" max="9" width="11.6640625" bestFit="1" customWidth="1"/>
    <col min="10" max="10" width="7.21875" bestFit="1" customWidth="1"/>
    <col min="11" max="11" width="10.109375" bestFit="1" customWidth="1"/>
    <col min="12" max="12" width="7" bestFit="1" customWidth="1"/>
    <col min="13" max="13" width="34.21875" bestFit="1" customWidth="1"/>
    <col min="14" max="14" width="24.77734375" bestFit="1" customWidth="1"/>
  </cols>
  <sheetData>
    <row r="1" spans="1:14" ht="28.8" x14ac:dyDescent="0.3">
      <c r="A1" s="14" t="s">
        <v>77</v>
      </c>
      <c r="B1" s="14" t="s">
        <v>78</v>
      </c>
      <c r="C1" s="14" t="s">
        <v>79</v>
      </c>
      <c r="D1" s="14" t="s">
        <v>80</v>
      </c>
      <c r="E1" s="14" t="s">
        <v>81</v>
      </c>
      <c r="F1" s="14"/>
      <c r="G1" s="14" t="s">
        <v>82</v>
      </c>
      <c r="H1" s="14" t="s">
        <v>83</v>
      </c>
      <c r="I1" s="14" t="s">
        <v>84</v>
      </c>
      <c r="J1" s="14" t="s">
        <v>85</v>
      </c>
      <c r="K1" s="14" t="s">
        <v>86</v>
      </c>
      <c r="L1" s="14" t="s">
        <v>87</v>
      </c>
      <c r="M1" s="12" t="s">
        <v>88</v>
      </c>
      <c r="N1" s="15" t="s">
        <v>549</v>
      </c>
    </row>
    <row r="2" spans="1:14" x14ac:dyDescent="0.3">
      <c r="A2" s="13" t="s">
        <v>89</v>
      </c>
      <c r="B2" s="13" t="s">
        <v>90</v>
      </c>
      <c r="C2" s="13" t="s">
        <v>91</v>
      </c>
      <c r="D2" s="13" t="s">
        <v>92</v>
      </c>
      <c r="E2" s="13" t="s">
        <v>90</v>
      </c>
      <c r="F2" s="13"/>
      <c r="G2" s="13" t="s">
        <v>93</v>
      </c>
      <c r="H2" s="13" t="s">
        <v>94</v>
      </c>
      <c r="I2" s="13" t="s">
        <v>95</v>
      </c>
      <c r="J2" s="13" t="s">
        <v>96</v>
      </c>
      <c r="K2" s="13">
        <v>18</v>
      </c>
      <c r="L2" s="13">
        <v>103464</v>
      </c>
      <c r="M2" s="13" t="str">
        <f>_xlfn.CONCAT(B2,I2)</f>
        <v>Pooja ThoratBachelor</v>
      </c>
      <c r="N2" t="str">
        <f>_xlfn.TEXTJOIN("-",TRUE,B2,I2)</f>
        <v>Pooja Thorat-Bachelor</v>
      </c>
    </row>
    <row r="3" spans="1:14" x14ac:dyDescent="0.3">
      <c r="A3" s="13" t="s">
        <v>97</v>
      </c>
      <c r="B3" s="13" t="s">
        <v>98</v>
      </c>
      <c r="C3" s="13" t="s">
        <v>99</v>
      </c>
      <c r="D3" s="13"/>
      <c r="E3" s="13" t="s">
        <v>100</v>
      </c>
      <c r="F3" s="13"/>
      <c r="G3" s="13" t="s">
        <v>101</v>
      </c>
      <c r="H3" s="13" t="s">
        <v>102</v>
      </c>
      <c r="I3" s="13" t="s">
        <v>103</v>
      </c>
      <c r="J3" s="13" t="s">
        <v>104</v>
      </c>
      <c r="K3" s="13">
        <v>9</v>
      </c>
      <c r="L3" s="13">
        <v>126942</v>
      </c>
      <c r="M3" s="13" t="str">
        <f t="shared" ref="M3:M66" si="0">_xlfn.CONCAT(B3,I3)</f>
        <v>Shruti SawantPhD</v>
      </c>
      <c r="N3" s="13" t="str">
        <f t="shared" ref="N3:N66" si="1">_xlfn.TEXTJOIN("-",TRUE,B3,I3)</f>
        <v>Shruti Sawant-PhD</v>
      </c>
    </row>
    <row r="4" spans="1:14" x14ac:dyDescent="0.3">
      <c r="A4" s="13" t="s">
        <v>105</v>
      </c>
      <c r="B4" s="13" t="s">
        <v>106</v>
      </c>
      <c r="C4" s="13" t="s">
        <v>107</v>
      </c>
      <c r="D4" s="13" t="s">
        <v>108</v>
      </c>
      <c r="E4" s="13" t="s">
        <v>106</v>
      </c>
      <c r="F4" s="13"/>
      <c r="G4" s="13" t="s">
        <v>109</v>
      </c>
      <c r="H4" s="13" t="s">
        <v>110</v>
      </c>
      <c r="I4" s="13" t="s">
        <v>103</v>
      </c>
      <c r="J4" s="13" t="s">
        <v>104</v>
      </c>
      <c r="K4" s="13">
        <v>14</v>
      </c>
      <c r="L4" s="13">
        <v>129882</v>
      </c>
      <c r="M4" s="13" t="str">
        <f t="shared" si="0"/>
        <v>Rupal KulkarniPhD</v>
      </c>
      <c r="N4" s="13" t="str">
        <f t="shared" si="1"/>
        <v>Rupal Kulkarni-PhD</v>
      </c>
    </row>
    <row r="5" spans="1:14" x14ac:dyDescent="0.3">
      <c r="A5" s="13" t="s">
        <v>111</v>
      </c>
      <c r="B5" s="13" t="s">
        <v>112</v>
      </c>
      <c r="C5" s="13" t="s">
        <v>113</v>
      </c>
      <c r="D5" s="13" t="s">
        <v>114</v>
      </c>
      <c r="E5" s="13" t="s">
        <v>112</v>
      </c>
      <c r="F5" s="13"/>
      <c r="G5" s="13" t="s">
        <v>115</v>
      </c>
      <c r="H5" s="13" t="s">
        <v>116</v>
      </c>
      <c r="I5" s="13" t="s">
        <v>103</v>
      </c>
      <c r="J5" s="13" t="s">
        <v>104</v>
      </c>
      <c r="K5" s="13">
        <v>2</v>
      </c>
      <c r="L5" s="13">
        <v>71092</v>
      </c>
      <c r="M5" s="13" t="str">
        <f t="shared" si="0"/>
        <v>Shweta PawarPhD</v>
      </c>
      <c r="N5" s="13" t="str">
        <f t="shared" si="1"/>
        <v>Shweta Pawar-PhD</v>
      </c>
    </row>
    <row r="6" spans="1:14" x14ac:dyDescent="0.3">
      <c r="A6" s="13" t="s">
        <v>117</v>
      </c>
      <c r="B6" s="13" t="s">
        <v>118</v>
      </c>
      <c r="C6" s="13" t="s">
        <v>119</v>
      </c>
      <c r="D6" s="13" t="s">
        <v>120</v>
      </c>
      <c r="E6" s="13" t="s">
        <v>118</v>
      </c>
      <c r="F6" s="13"/>
      <c r="G6" s="13" t="s">
        <v>121</v>
      </c>
      <c r="H6" s="13" t="s">
        <v>94</v>
      </c>
      <c r="I6" s="13" t="s">
        <v>95</v>
      </c>
      <c r="J6" s="13" t="s">
        <v>96</v>
      </c>
      <c r="K6" s="13">
        <v>8</v>
      </c>
      <c r="L6" s="13">
        <v>104760</v>
      </c>
      <c r="M6" s="13" t="str">
        <f t="shared" si="0"/>
        <v>Snehal JadhavBachelor</v>
      </c>
      <c r="N6" s="13" t="str">
        <f t="shared" si="1"/>
        <v>Snehal Jadhav-Bachelor</v>
      </c>
    </row>
    <row r="7" spans="1:14" x14ac:dyDescent="0.3">
      <c r="A7" s="13" t="s">
        <v>122</v>
      </c>
      <c r="B7" s="13" t="s">
        <v>123</v>
      </c>
      <c r="C7" s="13" t="s">
        <v>124</v>
      </c>
      <c r="D7" s="13" t="s">
        <v>125</v>
      </c>
      <c r="E7" s="13" t="s">
        <v>123</v>
      </c>
      <c r="F7" s="13"/>
      <c r="G7" s="13" t="s">
        <v>126</v>
      </c>
      <c r="H7" s="13" t="s">
        <v>110</v>
      </c>
      <c r="I7" s="13" t="s">
        <v>95</v>
      </c>
      <c r="J7" s="13" t="s">
        <v>96</v>
      </c>
      <c r="K7" s="13">
        <v>19</v>
      </c>
      <c r="L7" s="13">
        <v>74462</v>
      </c>
      <c r="M7" s="13" t="str">
        <f t="shared" si="0"/>
        <v>Nikita PawarBachelor</v>
      </c>
      <c r="N7" s="13" t="str">
        <f t="shared" si="1"/>
        <v>Nikita Pawar-Bachelor</v>
      </c>
    </row>
    <row r="8" spans="1:14" x14ac:dyDescent="0.3">
      <c r="A8" s="13" t="s">
        <v>127</v>
      </c>
      <c r="B8" s="13" t="s">
        <v>128</v>
      </c>
      <c r="C8" s="13" t="s">
        <v>129</v>
      </c>
      <c r="D8" s="13" t="s">
        <v>130</v>
      </c>
      <c r="E8" s="13" t="s">
        <v>128</v>
      </c>
      <c r="F8" s="13"/>
      <c r="G8" s="13" t="s">
        <v>131</v>
      </c>
      <c r="H8" s="13" t="s">
        <v>110</v>
      </c>
      <c r="I8" s="13" t="s">
        <v>103</v>
      </c>
      <c r="J8" s="13" t="s">
        <v>96</v>
      </c>
      <c r="K8" s="13">
        <v>10</v>
      </c>
      <c r="L8" s="13">
        <v>90573</v>
      </c>
      <c r="M8" s="13" t="str">
        <f t="shared" si="0"/>
        <v>Nikhil RathodPhD</v>
      </c>
      <c r="N8" s="13" t="str">
        <f t="shared" si="1"/>
        <v>Nikhil Rathod-PhD</v>
      </c>
    </row>
    <row r="9" spans="1:14" x14ac:dyDescent="0.3">
      <c r="A9" s="13" t="s">
        <v>132</v>
      </c>
      <c r="B9" s="13" t="s">
        <v>133</v>
      </c>
      <c r="C9" s="13" t="s">
        <v>134</v>
      </c>
      <c r="D9" s="13" t="s">
        <v>135</v>
      </c>
      <c r="E9" s="13" t="s">
        <v>133</v>
      </c>
      <c r="F9" s="13"/>
      <c r="G9" s="13" t="s">
        <v>136</v>
      </c>
      <c r="H9" s="13" t="s">
        <v>137</v>
      </c>
      <c r="I9" s="13" t="s">
        <v>95</v>
      </c>
      <c r="J9" s="13" t="s">
        <v>96</v>
      </c>
      <c r="K9" s="13">
        <v>19</v>
      </c>
      <c r="L9" s="13">
        <v>67690</v>
      </c>
      <c r="M9" s="13" t="str">
        <f t="shared" si="0"/>
        <v>Amol GoreBachelor</v>
      </c>
      <c r="N9" s="13" t="str">
        <f t="shared" si="1"/>
        <v>Amol Gore-Bachelor</v>
      </c>
    </row>
    <row r="10" spans="1:14" x14ac:dyDescent="0.3">
      <c r="A10" s="13" t="s">
        <v>138</v>
      </c>
      <c r="B10" s="13" t="s">
        <v>139</v>
      </c>
      <c r="C10" s="13" t="s">
        <v>140</v>
      </c>
      <c r="D10" s="13" t="s">
        <v>141</v>
      </c>
      <c r="E10" s="13" t="s">
        <v>139</v>
      </c>
      <c r="F10" s="13"/>
      <c r="G10" s="13" t="s">
        <v>142</v>
      </c>
      <c r="H10" s="13" t="s">
        <v>94</v>
      </c>
      <c r="I10" s="13" t="s">
        <v>143</v>
      </c>
      <c r="J10" s="13" t="s">
        <v>104</v>
      </c>
      <c r="K10" s="13">
        <v>8</v>
      </c>
      <c r="L10" s="13">
        <v>95724</v>
      </c>
      <c r="M10" s="13" t="str">
        <f t="shared" si="0"/>
        <v>Jayesh TambeDiploma</v>
      </c>
      <c r="N10" s="13" t="str">
        <f t="shared" si="1"/>
        <v>Jayesh Tambe-Diploma</v>
      </c>
    </row>
    <row r="11" spans="1:14" x14ac:dyDescent="0.3">
      <c r="A11" s="13" t="s">
        <v>144</v>
      </c>
      <c r="B11" s="13" t="s">
        <v>145</v>
      </c>
      <c r="C11" s="13" t="s">
        <v>146</v>
      </c>
      <c r="D11" s="13" t="s">
        <v>147</v>
      </c>
      <c r="E11" s="13" t="s">
        <v>145</v>
      </c>
      <c r="F11" s="13"/>
      <c r="G11" s="13" t="s">
        <v>148</v>
      </c>
      <c r="H11" s="13" t="s">
        <v>149</v>
      </c>
      <c r="I11" s="13" t="s">
        <v>103</v>
      </c>
      <c r="J11" s="13" t="s">
        <v>96</v>
      </c>
      <c r="K11" s="13">
        <v>17</v>
      </c>
      <c r="L11" s="13">
        <v>64884</v>
      </c>
      <c r="M11" s="13" t="str">
        <f t="shared" si="0"/>
        <v>Ishwar ManePhD</v>
      </c>
      <c r="N11" s="13" t="str">
        <f t="shared" si="1"/>
        <v>Ishwar Mane-PhD</v>
      </c>
    </row>
    <row r="12" spans="1:14" x14ac:dyDescent="0.3">
      <c r="A12" s="13" t="s">
        <v>150</v>
      </c>
      <c r="B12" s="13" t="s">
        <v>151</v>
      </c>
      <c r="C12" s="13" t="s">
        <v>152</v>
      </c>
      <c r="D12" s="13" t="s">
        <v>153</v>
      </c>
      <c r="E12" s="13" t="s">
        <v>151</v>
      </c>
      <c r="F12" s="13"/>
      <c r="G12" s="13" t="s">
        <v>154</v>
      </c>
      <c r="H12" s="13" t="s">
        <v>94</v>
      </c>
      <c r="I12" s="13" t="s">
        <v>103</v>
      </c>
      <c r="J12" s="13" t="s">
        <v>104</v>
      </c>
      <c r="K12" s="13">
        <v>15</v>
      </c>
      <c r="L12" s="13">
        <v>142125</v>
      </c>
      <c r="M12" s="13" t="str">
        <f t="shared" si="0"/>
        <v>Tejas JoshiPhD</v>
      </c>
      <c r="N12" s="13" t="str">
        <f t="shared" si="1"/>
        <v>Tejas Joshi-PhD</v>
      </c>
    </row>
    <row r="13" spans="1:14" x14ac:dyDescent="0.3">
      <c r="A13" s="13" t="s">
        <v>155</v>
      </c>
      <c r="B13" s="13" t="s">
        <v>156</v>
      </c>
      <c r="C13" s="13" t="s">
        <v>157</v>
      </c>
      <c r="D13" s="13" t="s">
        <v>158</v>
      </c>
      <c r="E13" s="13" t="s">
        <v>156</v>
      </c>
      <c r="F13" s="13"/>
      <c r="G13" s="13" t="s">
        <v>159</v>
      </c>
      <c r="H13" s="13" t="s">
        <v>137</v>
      </c>
      <c r="I13" s="13" t="s">
        <v>103</v>
      </c>
      <c r="J13" s="13" t="s">
        <v>104</v>
      </c>
      <c r="K13" s="13">
        <v>3</v>
      </c>
      <c r="L13" s="13">
        <v>132435</v>
      </c>
      <c r="M13" s="13" t="str">
        <f t="shared" si="0"/>
        <v>Deepak JadhavPhD</v>
      </c>
      <c r="N13" s="13" t="str">
        <f t="shared" si="1"/>
        <v>Deepak Jadhav-PhD</v>
      </c>
    </row>
    <row r="14" spans="1:14" x14ac:dyDescent="0.3">
      <c r="A14" s="13" t="s">
        <v>160</v>
      </c>
      <c r="B14" s="13" t="s">
        <v>161</v>
      </c>
      <c r="C14" s="13" t="s">
        <v>162</v>
      </c>
      <c r="D14" s="13" t="s">
        <v>163</v>
      </c>
      <c r="E14" s="13" t="s">
        <v>161</v>
      </c>
      <c r="F14" s="13"/>
      <c r="G14" s="13" t="s">
        <v>164</v>
      </c>
      <c r="H14" s="13" t="s">
        <v>116</v>
      </c>
      <c r="I14" s="13" t="s">
        <v>103</v>
      </c>
      <c r="J14" s="13" t="s">
        <v>104</v>
      </c>
      <c r="K14" s="13">
        <v>10</v>
      </c>
      <c r="L14" s="13">
        <v>111948</v>
      </c>
      <c r="M14" s="13" t="str">
        <f t="shared" si="0"/>
        <v>Madhavi KadamPhD</v>
      </c>
      <c r="N14" s="13" t="str">
        <f t="shared" si="1"/>
        <v>Madhavi Kadam-PhD</v>
      </c>
    </row>
    <row r="15" spans="1:14" x14ac:dyDescent="0.3">
      <c r="A15" s="13" t="s">
        <v>165</v>
      </c>
      <c r="B15" s="13" t="s">
        <v>166</v>
      </c>
      <c r="C15" s="13" t="s">
        <v>167</v>
      </c>
      <c r="D15" s="13" t="s">
        <v>168</v>
      </c>
      <c r="E15" s="13" t="s">
        <v>166</v>
      </c>
      <c r="F15" s="13"/>
      <c r="G15" s="13" t="s">
        <v>169</v>
      </c>
      <c r="H15" s="13" t="s">
        <v>102</v>
      </c>
      <c r="I15" s="13" t="s">
        <v>170</v>
      </c>
      <c r="J15" s="13" t="s">
        <v>96</v>
      </c>
      <c r="K15" s="13">
        <v>15</v>
      </c>
      <c r="L15" s="13">
        <v>106428</v>
      </c>
      <c r="M15" s="13" t="str">
        <f t="shared" si="0"/>
        <v>Aparna DeshmukhMaster</v>
      </c>
      <c r="N15" s="13" t="str">
        <f t="shared" si="1"/>
        <v>Aparna Deshmukh-Master</v>
      </c>
    </row>
    <row r="16" spans="1:14" x14ac:dyDescent="0.3">
      <c r="A16" s="13" t="s">
        <v>171</v>
      </c>
      <c r="B16" s="13" t="s">
        <v>172</v>
      </c>
      <c r="C16" s="13" t="s">
        <v>173</v>
      </c>
      <c r="D16" s="13" t="s">
        <v>174</v>
      </c>
      <c r="E16" s="13" t="s">
        <v>172</v>
      </c>
      <c r="F16" s="13"/>
      <c r="G16" s="13" t="s">
        <v>126</v>
      </c>
      <c r="H16" s="13" t="s">
        <v>137</v>
      </c>
      <c r="I16" s="13" t="s">
        <v>103</v>
      </c>
      <c r="J16" s="13" t="s">
        <v>96</v>
      </c>
      <c r="K16" s="13">
        <v>20</v>
      </c>
      <c r="L16" s="13">
        <v>144998</v>
      </c>
      <c r="M16" s="13" t="str">
        <f t="shared" si="0"/>
        <v>Aadesh NimbalkarPhD</v>
      </c>
      <c r="N16" s="13" t="str">
        <f t="shared" si="1"/>
        <v>Aadesh Nimbalkar-PhD</v>
      </c>
    </row>
    <row r="17" spans="1:14" x14ac:dyDescent="0.3">
      <c r="A17" s="13" t="s">
        <v>175</v>
      </c>
      <c r="B17" s="13" t="s">
        <v>176</v>
      </c>
      <c r="C17" s="13" t="s">
        <v>177</v>
      </c>
      <c r="D17" s="13" t="s">
        <v>178</v>
      </c>
      <c r="E17" s="13" t="s">
        <v>176</v>
      </c>
      <c r="F17" s="13"/>
      <c r="G17" s="13" t="s">
        <v>179</v>
      </c>
      <c r="H17" s="13" t="s">
        <v>110</v>
      </c>
      <c r="I17" s="13" t="s">
        <v>143</v>
      </c>
      <c r="J17" s="13" t="s">
        <v>104</v>
      </c>
      <c r="K17" s="13">
        <v>14</v>
      </c>
      <c r="L17" s="13">
        <v>108776</v>
      </c>
      <c r="M17" s="13" t="str">
        <f t="shared" si="0"/>
        <v>Aadesh RathodDiploma</v>
      </c>
      <c r="N17" s="13" t="str">
        <f t="shared" si="1"/>
        <v>Aadesh Rathod-Diploma</v>
      </c>
    </row>
    <row r="18" spans="1:14" x14ac:dyDescent="0.3">
      <c r="A18" s="13" t="s">
        <v>180</v>
      </c>
      <c r="B18" s="13" t="s">
        <v>181</v>
      </c>
      <c r="C18" s="13" t="s">
        <v>182</v>
      </c>
      <c r="D18" s="13" t="s">
        <v>183</v>
      </c>
      <c r="E18" s="13" t="s">
        <v>181</v>
      </c>
      <c r="F18" s="13"/>
      <c r="G18" s="13" t="s">
        <v>164</v>
      </c>
      <c r="H18" s="13" t="s">
        <v>110</v>
      </c>
      <c r="I18" s="13" t="s">
        <v>103</v>
      </c>
      <c r="J18" s="13" t="s">
        <v>96</v>
      </c>
      <c r="K18" s="13">
        <v>6</v>
      </c>
      <c r="L18" s="13">
        <v>131725</v>
      </c>
      <c r="M18" s="13" t="str">
        <f t="shared" si="0"/>
        <v>Gaurav NimbalkarPhD</v>
      </c>
      <c r="N18" s="13" t="str">
        <f t="shared" si="1"/>
        <v>Gaurav Nimbalkar-PhD</v>
      </c>
    </row>
    <row r="19" spans="1:14" x14ac:dyDescent="0.3">
      <c r="A19" s="13" t="s">
        <v>184</v>
      </c>
      <c r="B19" s="13" t="s">
        <v>185</v>
      </c>
      <c r="C19" s="13" t="s">
        <v>186</v>
      </c>
      <c r="D19" s="13" t="s">
        <v>187</v>
      </c>
      <c r="E19" s="13" t="s">
        <v>185</v>
      </c>
      <c r="F19" s="13"/>
      <c r="G19" s="13" t="s">
        <v>188</v>
      </c>
      <c r="H19" s="13" t="s">
        <v>94</v>
      </c>
      <c r="I19" s="13" t="s">
        <v>103</v>
      </c>
      <c r="J19" s="13" t="s">
        <v>104</v>
      </c>
      <c r="K19" s="13">
        <v>14</v>
      </c>
      <c r="L19" s="13">
        <v>60084</v>
      </c>
      <c r="M19" s="13" t="str">
        <f t="shared" si="0"/>
        <v>Bhushan ThoratPhD</v>
      </c>
      <c r="N19" s="13" t="str">
        <f t="shared" si="1"/>
        <v>Bhushan Thorat-PhD</v>
      </c>
    </row>
    <row r="20" spans="1:14" x14ac:dyDescent="0.3">
      <c r="A20" s="13" t="s">
        <v>189</v>
      </c>
      <c r="B20" s="13" t="s">
        <v>190</v>
      </c>
      <c r="C20" s="13" t="s">
        <v>191</v>
      </c>
      <c r="D20" s="13" t="s">
        <v>192</v>
      </c>
      <c r="E20" s="13" t="s">
        <v>190</v>
      </c>
      <c r="F20" s="13"/>
      <c r="G20" s="13" t="s">
        <v>193</v>
      </c>
      <c r="H20" s="13" t="s">
        <v>110</v>
      </c>
      <c r="I20" s="13" t="s">
        <v>95</v>
      </c>
      <c r="J20" s="13" t="s">
        <v>104</v>
      </c>
      <c r="K20" s="13">
        <v>7</v>
      </c>
      <c r="L20" s="13">
        <v>48815</v>
      </c>
      <c r="M20" s="13" t="str">
        <f t="shared" si="0"/>
        <v>Ishwar JadhavBachelor</v>
      </c>
      <c r="N20" s="13" t="str">
        <f t="shared" si="1"/>
        <v>Ishwar Jadhav-Bachelor</v>
      </c>
    </row>
    <row r="21" spans="1:14" x14ac:dyDescent="0.3">
      <c r="A21" s="13" t="s">
        <v>194</v>
      </c>
      <c r="B21" s="13" t="s">
        <v>195</v>
      </c>
      <c r="C21" s="13" t="s">
        <v>196</v>
      </c>
      <c r="D21" s="13" t="s">
        <v>197</v>
      </c>
      <c r="E21" s="13" t="s">
        <v>195</v>
      </c>
      <c r="F21" s="13"/>
      <c r="G21" s="13" t="s">
        <v>198</v>
      </c>
      <c r="H21" s="13" t="s">
        <v>94</v>
      </c>
      <c r="I21" s="13" t="s">
        <v>103</v>
      </c>
      <c r="J21" s="13" t="s">
        <v>104</v>
      </c>
      <c r="K21" s="13">
        <v>17</v>
      </c>
      <c r="L21" s="13">
        <v>137304</v>
      </c>
      <c r="M21" s="13" t="str">
        <f t="shared" si="0"/>
        <v>Sushma SawantPhD</v>
      </c>
      <c r="N21" s="13" t="str">
        <f t="shared" si="1"/>
        <v>Sushma Sawant-PhD</v>
      </c>
    </row>
    <row r="22" spans="1:14" x14ac:dyDescent="0.3">
      <c r="A22" s="13" t="s">
        <v>199</v>
      </c>
      <c r="B22" s="13" t="s">
        <v>200</v>
      </c>
      <c r="C22" s="13" t="s">
        <v>201</v>
      </c>
      <c r="D22" s="13" t="s">
        <v>202</v>
      </c>
      <c r="E22" s="13" t="s">
        <v>200</v>
      </c>
      <c r="F22" s="13"/>
      <c r="G22" s="13" t="s">
        <v>109</v>
      </c>
      <c r="H22" s="13" t="s">
        <v>110</v>
      </c>
      <c r="I22" s="13" t="s">
        <v>143</v>
      </c>
      <c r="J22" s="13" t="s">
        <v>96</v>
      </c>
      <c r="K22" s="13">
        <v>4</v>
      </c>
      <c r="L22" s="13">
        <v>99797</v>
      </c>
      <c r="M22" s="13" t="str">
        <f t="shared" si="0"/>
        <v>Nikhil DeshmukhDiploma</v>
      </c>
      <c r="N22" s="13" t="str">
        <f t="shared" si="1"/>
        <v>Nikhil Deshmukh-Diploma</v>
      </c>
    </row>
    <row r="23" spans="1:14" x14ac:dyDescent="0.3">
      <c r="A23" s="13" t="s">
        <v>203</v>
      </c>
      <c r="B23" s="13" t="s">
        <v>204</v>
      </c>
      <c r="C23" s="13" t="s">
        <v>205</v>
      </c>
      <c r="D23" s="13" t="s">
        <v>206</v>
      </c>
      <c r="E23" s="13" t="s">
        <v>204</v>
      </c>
      <c r="F23" s="13"/>
      <c r="G23" s="13" t="s">
        <v>207</v>
      </c>
      <c r="H23" s="13" t="s">
        <v>149</v>
      </c>
      <c r="I23" s="13" t="s">
        <v>103</v>
      </c>
      <c r="J23" s="13" t="s">
        <v>96</v>
      </c>
      <c r="K23" s="13">
        <v>12</v>
      </c>
      <c r="L23" s="13">
        <v>91106</v>
      </c>
      <c r="M23" s="13" t="str">
        <f t="shared" si="0"/>
        <v>Ashwini PatilPhD</v>
      </c>
      <c r="N23" s="13" t="str">
        <f t="shared" si="1"/>
        <v>Ashwini Patil-PhD</v>
      </c>
    </row>
    <row r="24" spans="1:14" x14ac:dyDescent="0.3">
      <c r="A24" s="13" t="s">
        <v>208</v>
      </c>
      <c r="B24" s="13" t="s">
        <v>209</v>
      </c>
      <c r="C24" s="13" t="s">
        <v>210</v>
      </c>
      <c r="D24" s="13" t="s">
        <v>211</v>
      </c>
      <c r="E24" s="13" t="s">
        <v>209</v>
      </c>
      <c r="F24" s="13"/>
      <c r="G24" s="13" t="s">
        <v>212</v>
      </c>
      <c r="H24" s="13" t="s">
        <v>94</v>
      </c>
      <c r="I24" s="13" t="s">
        <v>103</v>
      </c>
      <c r="J24" s="13" t="s">
        <v>104</v>
      </c>
      <c r="K24" s="13">
        <v>17</v>
      </c>
      <c r="L24" s="13">
        <v>129379</v>
      </c>
      <c r="M24" s="13" t="str">
        <f t="shared" si="0"/>
        <v>Sachin ThoratPhD</v>
      </c>
      <c r="N24" s="13" t="str">
        <f t="shared" si="1"/>
        <v>Sachin Thorat-PhD</v>
      </c>
    </row>
    <row r="25" spans="1:14" x14ac:dyDescent="0.3">
      <c r="A25" s="13" t="s">
        <v>213</v>
      </c>
      <c r="B25" s="13" t="s">
        <v>214</v>
      </c>
      <c r="C25" s="13" t="s">
        <v>215</v>
      </c>
      <c r="D25" s="13" t="s">
        <v>216</v>
      </c>
      <c r="E25" s="13" t="s">
        <v>214</v>
      </c>
      <c r="F25" s="13"/>
      <c r="G25" s="13" t="s">
        <v>166</v>
      </c>
      <c r="H25" s="13" t="s">
        <v>137</v>
      </c>
      <c r="I25" s="13" t="s">
        <v>143</v>
      </c>
      <c r="J25" s="13" t="s">
        <v>104</v>
      </c>
      <c r="K25" s="13">
        <v>19</v>
      </c>
      <c r="L25" s="13">
        <v>54723</v>
      </c>
      <c r="M25" s="13" t="str">
        <f t="shared" si="0"/>
        <v>Nikhil ManeDiploma</v>
      </c>
      <c r="N25" s="13" t="str">
        <f t="shared" si="1"/>
        <v>Nikhil Mane-Diploma</v>
      </c>
    </row>
    <row r="26" spans="1:14" x14ac:dyDescent="0.3">
      <c r="A26" s="13" t="s">
        <v>217</v>
      </c>
      <c r="B26" s="13" t="s">
        <v>218</v>
      </c>
      <c r="C26" s="13" t="s">
        <v>219</v>
      </c>
      <c r="D26" s="13" t="s">
        <v>220</v>
      </c>
      <c r="E26" s="13" t="s">
        <v>218</v>
      </c>
      <c r="F26" s="13"/>
      <c r="G26" s="13" t="s">
        <v>221</v>
      </c>
      <c r="H26" s="13" t="s">
        <v>149</v>
      </c>
      <c r="I26" s="13" t="s">
        <v>95</v>
      </c>
      <c r="J26" s="13" t="s">
        <v>104</v>
      </c>
      <c r="K26" s="13">
        <v>19</v>
      </c>
      <c r="L26" s="13">
        <v>148721</v>
      </c>
      <c r="M26" s="13" t="str">
        <f t="shared" si="0"/>
        <v>Ishwar DeshmukhBachelor</v>
      </c>
      <c r="N26" s="13" t="str">
        <f t="shared" si="1"/>
        <v>Ishwar Deshmukh-Bachelor</v>
      </c>
    </row>
    <row r="27" spans="1:14" x14ac:dyDescent="0.3">
      <c r="A27" s="13" t="s">
        <v>222</v>
      </c>
      <c r="B27" s="13" t="s">
        <v>223</v>
      </c>
      <c r="C27" s="13" t="s">
        <v>224</v>
      </c>
      <c r="D27" s="13" t="s">
        <v>225</v>
      </c>
      <c r="E27" s="13" t="s">
        <v>223</v>
      </c>
      <c r="F27" s="13"/>
      <c r="G27" s="13" t="s">
        <v>226</v>
      </c>
      <c r="H27" s="13" t="s">
        <v>110</v>
      </c>
      <c r="I27" s="13" t="s">
        <v>170</v>
      </c>
      <c r="J27" s="13" t="s">
        <v>104</v>
      </c>
      <c r="K27" s="13">
        <v>15</v>
      </c>
      <c r="L27" s="13">
        <v>62799</v>
      </c>
      <c r="M27" s="13" t="str">
        <f t="shared" si="0"/>
        <v>Dinesh GoreMaster</v>
      </c>
      <c r="N27" s="13" t="str">
        <f t="shared" si="1"/>
        <v>Dinesh Gore-Master</v>
      </c>
    </row>
    <row r="28" spans="1:14" x14ac:dyDescent="0.3">
      <c r="A28" s="13" t="s">
        <v>227</v>
      </c>
      <c r="B28" s="13" t="s">
        <v>228</v>
      </c>
      <c r="C28" s="13" t="s">
        <v>229</v>
      </c>
      <c r="D28" s="13" t="s">
        <v>230</v>
      </c>
      <c r="E28" s="13" t="s">
        <v>228</v>
      </c>
      <c r="F28" s="13"/>
      <c r="G28" s="13" t="s">
        <v>231</v>
      </c>
      <c r="H28" s="13" t="s">
        <v>110</v>
      </c>
      <c r="I28" s="13" t="s">
        <v>103</v>
      </c>
      <c r="J28" s="13" t="s">
        <v>104</v>
      </c>
      <c r="K28" s="13">
        <v>20</v>
      </c>
      <c r="L28" s="13">
        <v>117832</v>
      </c>
      <c r="M28" s="13" t="str">
        <f t="shared" si="0"/>
        <v>Gaurav ThoratPhD</v>
      </c>
      <c r="N28" s="13" t="str">
        <f t="shared" si="1"/>
        <v>Gaurav Thorat-PhD</v>
      </c>
    </row>
    <row r="29" spans="1:14" x14ac:dyDescent="0.3">
      <c r="A29" s="13" t="s">
        <v>232</v>
      </c>
      <c r="B29" s="13" t="s">
        <v>233</v>
      </c>
      <c r="C29" s="13" t="s">
        <v>234</v>
      </c>
      <c r="D29" s="13" t="s">
        <v>235</v>
      </c>
      <c r="E29" s="13" t="s">
        <v>233</v>
      </c>
      <c r="F29" s="13"/>
      <c r="G29" s="13" t="s">
        <v>236</v>
      </c>
      <c r="H29" s="13" t="s">
        <v>137</v>
      </c>
      <c r="I29" s="13" t="s">
        <v>95</v>
      </c>
      <c r="J29" s="13" t="s">
        <v>96</v>
      </c>
      <c r="K29" s="13">
        <v>20</v>
      </c>
      <c r="L29" s="13">
        <v>131791</v>
      </c>
      <c r="M29" s="13" t="str">
        <f t="shared" si="0"/>
        <v>Bhushan SawantBachelor</v>
      </c>
      <c r="N29" s="13" t="str">
        <f t="shared" si="1"/>
        <v>Bhushan Sawant-Bachelor</v>
      </c>
    </row>
    <row r="30" spans="1:14" x14ac:dyDescent="0.3">
      <c r="A30" s="13" t="s">
        <v>237</v>
      </c>
      <c r="B30" s="13" t="s">
        <v>233</v>
      </c>
      <c r="C30" s="13" t="s">
        <v>234</v>
      </c>
      <c r="D30" s="13" t="s">
        <v>235</v>
      </c>
      <c r="E30" s="13" t="s">
        <v>233</v>
      </c>
      <c r="F30" s="13"/>
      <c r="G30" s="13" t="s">
        <v>238</v>
      </c>
      <c r="H30" s="13" t="s">
        <v>102</v>
      </c>
      <c r="I30" s="13" t="s">
        <v>103</v>
      </c>
      <c r="J30" s="13" t="s">
        <v>96</v>
      </c>
      <c r="K30" s="13">
        <v>10</v>
      </c>
      <c r="L30" s="13">
        <v>140489</v>
      </c>
      <c r="M30" s="13" t="str">
        <f t="shared" si="0"/>
        <v>Bhushan SawantPhD</v>
      </c>
      <c r="N30" s="13" t="str">
        <f t="shared" si="1"/>
        <v>Bhushan Sawant-PhD</v>
      </c>
    </row>
    <row r="31" spans="1:14" x14ac:dyDescent="0.3">
      <c r="A31" s="13" t="s">
        <v>239</v>
      </c>
      <c r="B31" s="13" t="s">
        <v>240</v>
      </c>
      <c r="C31" s="13" t="s">
        <v>241</v>
      </c>
      <c r="D31" s="13" t="s">
        <v>242</v>
      </c>
      <c r="E31" s="13" t="s">
        <v>240</v>
      </c>
      <c r="F31" s="13"/>
      <c r="G31" s="13" t="s">
        <v>243</v>
      </c>
      <c r="H31" s="13" t="s">
        <v>116</v>
      </c>
      <c r="I31" s="13" t="s">
        <v>103</v>
      </c>
      <c r="J31" s="13" t="s">
        <v>104</v>
      </c>
      <c r="K31" s="13">
        <v>16</v>
      </c>
      <c r="L31" s="13">
        <v>106064</v>
      </c>
      <c r="M31" s="13" t="str">
        <f t="shared" si="0"/>
        <v>Swati SawantPhD</v>
      </c>
      <c r="N31" s="13" t="str">
        <f t="shared" si="1"/>
        <v>Swati Sawant-PhD</v>
      </c>
    </row>
    <row r="32" spans="1:14" x14ac:dyDescent="0.3">
      <c r="A32" s="13" t="s">
        <v>244</v>
      </c>
      <c r="B32" s="13" t="s">
        <v>245</v>
      </c>
      <c r="C32" s="13" t="s">
        <v>246</v>
      </c>
      <c r="D32" s="13" t="s">
        <v>247</v>
      </c>
      <c r="E32" s="13" t="s">
        <v>245</v>
      </c>
      <c r="F32" s="13"/>
      <c r="G32" s="13" t="s">
        <v>248</v>
      </c>
      <c r="H32" s="13" t="s">
        <v>102</v>
      </c>
      <c r="I32" s="13" t="s">
        <v>103</v>
      </c>
      <c r="J32" s="13" t="s">
        <v>104</v>
      </c>
      <c r="K32" s="13">
        <v>12</v>
      </c>
      <c r="L32" s="13">
        <v>104444</v>
      </c>
      <c r="M32" s="13" t="str">
        <f t="shared" si="0"/>
        <v>Shubham DeshmukhPhD</v>
      </c>
      <c r="N32" s="13" t="str">
        <f t="shared" si="1"/>
        <v>Shubham Deshmukh-PhD</v>
      </c>
    </row>
    <row r="33" spans="1:14" x14ac:dyDescent="0.3">
      <c r="A33" s="13" t="s">
        <v>249</v>
      </c>
      <c r="B33" s="13" t="s">
        <v>112</v>
      </c>
      <c r="C33" s="13" t="s">
        <v>113</v>
      </c>
      <c r="D33" s="13" t="s">
        <v>114</v>
      </c>
      <c r="E33" s="13" t="s">
        <v>112</v>
      </c>
      <c r="F33" s="13"/>
      <c r="G33" s="13" t="s">
        <v>212</v>
      </c>
      <c r="H33" s="13" t="s">
        <v>137</v>
      </c>
      <c r="I33" s="13" t="s">
        <v>170</v>
      </c>
      <c r="J33" s="13" t="s">
        <v>104</v>
      </c>
      <c r="K33" s="13">
        <v>15</v>
      </c>
      <c r="L33" s="13">
        <v>106961</v>
      </c>
      <c r="M33" s="13" t="str">
        <f t="shared" si="0"/>
        <v>Shweta PawarMaster</v>
      </c>
      <c r="N33" s="13" t="str">
        <f t="shared" si="1"/>
        <v>Shweta Pawar-Master</v>
      </c>
    </row>
    <row r="34" spans="1:14" x14ac:dyDescent="0.3">
      <c r="A34" s="13" t="s">
        <v>250</v>
      </c>
      <c r="B34" s="13" t="s">
        <v>251</v>
      </c>
      <c r="C34" s="13" t="s">
        <v>252</v>
      </c>
      <c r="D34" s="13" t="s">
        <v>253</v>
      </c>
      <c r="E34" s="13" t="s">
        <v>251</v>
      </c>
      <c r="F34" s="13"/>
      <c r="G34" s="13" t="s">
        <v>254</v>
      </c>
      <c r="H34" s="13" t="s">
        <v>102</v>
      </c>
      <c r="I34" s="13" t="s">
        <v>170</v>
      </c>
      <c r="J34" s="13" t="s">
        <v>96</v>
      </c>
      <c r="K34" s="13">
        <v>20</v>
      </c>
      <c r="L34" s="13">
        <v>83172</v>
      </c>
      <c r="M34" s="13" t="str">
        <f t="shared" si="0"/>
        <v>Shraddha TambeMaster</v>
      </c>
      <c r="N34" s="13" t="str">
        <f t="shared" si="1"/>
        <v>Shraddha Tambe-Master</v>
      </c>
    </row>
    <row r="35" spans="1:14" x14ac:dyDescent="0.3">
      <c r="A35" s="13" t="s">
        <v>255</v>
      </c>
      <c r="B35" s="13" t="s">
        <v>256</v>
      </c>
      <c r="C35" s="13" t="s">
        <v>257</v>
      </c>
      <c r="D35" s="13" t="s">
        <v>258</v>
      </c>
      <c r="E35" s="13" t="s">
        <v>256</v>
      </c>
      <c r="F35" s="13"/>
      <c r="G35" s="13" t="s">
        <v>259</v>
      </c>
      <c r="H35" s="13" t="s">
        <v>137</v>
      </c>
      <c r="I35" s="13" t="s">
        <v>170</v>
      </c>
      <c r="J35" s="13" t="s">
        <v>96</v>
      </c>
      <c r="K35" s="13">
        <v>4</v>
      </c>
      <c r="L35" s="13">
        <v>78326</v>
      </c>
      <c r="M35" s="13" t="str">
        <f t="shared" si="0"/>
        <v>Jayesh BhosaleMaster</v>
      </c>
      <c r="N35" s="13" t="str">
        <f t="shared" si="1"/>
        <v>Jayesh Bhosale-Master</v>
      </c>
    </row>
    <row r="36" spans="1:14" x14ac:dyDescent="0.3">
      <c r="A36" s="13" t="s">
        <v>260</v>
      </c>
      <c r="B36" s="13" t="s">
        <v>261</v>
      </c>
      <c r="C36" s="13" t="s">
        <v>262</v>
      </c>
      <c r="D36" s="13" t="s">
        <v>263</v>
      </c>
      <c r="E36" s="13" t="s">
        <v>261</v>
      </c>
      <c r="F36" s="13"/>
      <c r="G36" s="13" t="s">
        <v>264</v>
      </c>
      <c r="H36" s="13" t="s">
        <v>149</v>
      </c>
      <c r="I36" s="13" t="s">
        <v>143</v>
      </c>
      <c r="J36" s="13" t="s">
        <v>104</v>
      </c>
      <c r="K36" s="13">
        <v>19</v>
      </c>
      <c r="L36" s="13">
        <v>118586</v>
      </c>
      <c r="M36" s="13" t="str">
        <f t="shared" si="0"/>
        <v>Madhavi BhagatDiploma</v>
      </c>
      <c r="N36" s="13" t="str">
        <f t="shared" si="1"/>
        <v>Madhavi Bhagat-Diploma</v>
      </c>
    </row>
    <row r="37" spans="1:14" x14ac:dyDescent="0.3">
      <c r="A37" s="13" t="s">
        <v>265</v>
      </c>
      <c r="B37" s="13" t="s">
        <v>266</v>
      </c>
      <c r="C37" s="13" t="s">
        <v>267</v>
      </c>
      <c r="D37" s="13" t="s">
        <v>268</v>
      </c>
      <c r="E37" s="13" t="s">
        <v>266</v>
      </c>
      <c r="F37" s="13"/>
      <c r="G37" s="13" t="s">
        <v>269</v>
      </c>
      <c r="H37" s="13" t="s">
        <v>149</v>
      </c>
      <c r="I37" s="13" t="s">
        <v>170</v>
      </c>
      <c r="J37" s="13" t="s">
        <v>104</v>
      </c>
      <c r="K37" s="13">
        <v>2</v>
      </c>
      <c r="L37" s="13">
        <v>123023</v>
      </c>
      <c r="M37" s="13" t="str">
        <f t="shared" si="0"/>
        <v>Harshada BhagatMaster</v>
      </c>
      <c r="N37" s="13" t="str">
        <f t="shared" si="1"/>
        <v>Harshada Bhagat-Master</v>
      </c>
    </row>
    <row r="38" spans="1:14" x14ac:dyDescent="0.3">
      <c r="A38" s="13" t="s">
        <v>270</v>
      </c>
      <c r="B38" s="13" t="s">
        <v>271</v>
      </c>
      <c r="C38" s="13" t="s">
        <v>272</v>
      </c>
      <c r="D38" s="13" t="s">
        <v>273</v>
      </c>
      <c r="E38" s="13" t="s">
        <v>271</v>
      </c>
      <c r="F38" s="13"/>
      <c r="G38" s="13" t="s">
        <v>274</v>
      </c>
      <c r="H38" s="13" t="s">
        <v>116</v>
      </c>
      <c r="I38" s="13" t="s">
        <v>143</v>
      </c>
      <c r="J38" s="13" t="s">
        <v>104</v>
      </c>
      <c r="K38" s="13">
        <v>12</v>
      </c>
      <c r="L38" s="13">
        <v>76671</v>
      </c>
      <c r="M38" s="13" t="str">
        <f t="shared" si="0"/>
        <v>Rohit TambeDiploma</v>
      </c>
      <c r="N38" s="13" t="str">
        <f t="shared" si="1"/>
        <v>Rohit Tambe-Diploma</v>
      </c>
    </row>
    <row r="39" spans="1:14" x14ac:dyDescent="0.3">
      <c r="A39" s="13" t="s">
        <v>275</v>
      </c>
      <c r="B39" s="13" t="s">
        <v>276</v>
      </c>
      <c r="C39" s="13" t="s">
        <v>277</v>
      </c>
      <c r="D39" s="13" t="s">
        <v>278</v>
      </c>
      <c r="E39" s="13" t="s">
        <v>276</v>
      </c>
      <c r="F39" s="13"/>
      <c r="G39" s="13" t="s">
        <v>279</v>
      </c>
      <c r="H39" s="13" t="s">
        <v>116</v>
      </c>
      <c r="I39" s="13" t="s">
        <v>103</v>
      </c>
      <c r="J39" s="13" t="s">
        <v>96</v>
      </c>
      <c r="K39" s="13">
        <v>19</v>
      </c>
      <c r="L39" s="13">
        <v>72081</v>
      </c>
      <c r="M39" s="13" t="str">
        <f t="shared" si="0"/>
        <v>Manisha SawantPhD</v>
      </c>
      <c r="N39" s="13" t="str">
        <f t="shared" si="1"/>
        <v>Manisha Sawant-PhD</v>
      </c>
    </row>
    <row r="40" spans="1:14" x14ac:dyDescent="0.3">
      <c r="A40" s="13" t="s">
        <v>280</v>
      </c>
      <c r="B40" s="13" t="s">
        <v>281</v>
      </c>
      <c r="C40" s="13" t="s">
        <v>282</v>
      </c>
      <c r="D40" s="13" t="s">
        <v>283</v>
      </c>
      <c r="E40" s="13" t="s">
        <v>281</v>
      </c>
      <c r="F40" s="13"/>
      <c r="G40" s="13" t="s">
        <v>284</v>
      </c>
      <c r="H40" s="13" t="s">
        <v>94</v>
      </c>
      <c r="I40" s="13" t="s">
        <v>95</v>
      </c>
      <c r="J40" s="13" t="s">
        <v>104</v>
      </c>
      <c r="K40" s="13">
        <v>13</v>
      </c>
      <c r="L40" s="13">
        <v>136748</v>
      </c>
      <c r="M40" s="13" t="str">
        <f t="shared" si="0"/>
        <v>Komal BhosaleBachelor</v>
      </c>
      <c r="N40" s="13" t="str">
        <f t="shared" si="1"/>
        <v>Komal Bhosale-Bachelor</v>
      </c>
    </row>
    <row r="41" spans="1:14" x14ac:dyDescent="0.3">
      <c r="A41" s="13" t="s">
        <v>285</v>
      </c>
      <c r="B41" s="13" t="s">
        <v>286</v>
      </c>
      <c r="C41" s="13" t="s">
        <v>287</v>
      </c>
      <c r="D41" s="13" t="s">
        <v>288</v>
      </c>
      <c r="E41" s="13" t="s">
        <v>286</v>
      </c>
      <c r="F41" s="13"/>
      <c r="G41" s="13" t="s">
        <v>289</v>
      </c>
      <c r="H41" s="13" t="s">
        <v>94</v>
      </c>
      <c r="I41" s="13" t="s">
        <v>143</v>
      </c>
      <c r="J41" s="13" t="s">
        <v>96</v>
      </c>
      <c r="K41" s="13">
        <v>16</v>
      </c>
      <c r="L41" s="13">
        <v>91583</v>
      </c>
      <c r="M41" s="13" t="str">
        <f t="shared" si="0"/>
        <v>Deepak ThoratDiploma</v>
      </c>
      <c r="N41" s="13" t="str">
        <f t="shared" si="1"/>
        <v>Deepak Thorat-Diploma</v>
      </c>
    </row>
    <row r="42" spans="1:14" x14ac:dyDescent="0.3">
      <c r="A42" s="13" t="s">
        <v>290</v>
      </c>
      <c r="B42" s="13" t="s">
        <v>291</v>
      </c>
      <c r="C42" s="13" t="s">
        <v>292</v>
      </c>
      <c r="D42" s="13" t="s">
        <v>293</v>
      </c>
      <c r="E42" s="13" t="s">
        <v>291</v>
      </c>
      <c r="F42" s="13"/>
      <c r="G42" s="13" t="s">
        <v>294</v>
      </c>
      <c r="H42" s="13" t="s">
        <v>94</v>
      </c>
      <c r="I42" s="13" t="s">
        <v>170</v>
      </c>
      <c r="J42" s="13" t="s">
        <v>96</v>
      </c>
      <c r="K42" s="13">
        <v>7</v>
      </c>
      <c r="L42" s="13">
        <v>137305</v>
      </c>
      <c r="M42" s="13" t="str">
        <f t="shared" si="0"/>
        <v>Sanjay ChavanMaster</v>
      </c>
      <c r="N42" s="13" t="str">
        <f t="shared" si="1"/>
        <v>Sanjay Chavan-Master</v>
      </c>
    </row>
    <row r="43" spans="1:14" x14ac:dyDescent="0.3">
      <c r="A43" s="13" t="s">
        <v>295</v>
      </c>
      <c r="B43" s="13" t="s">
        <v>296</v>
      </c>
      <c r="C43" s="13" t="s">
        <v>297</v>
      </c>
      <c r="D43" s="13" t="s">
        <v>298</v>
      </c>
      <c r="E43" s="13" t="s">
        <v>296</v>
      </c>
      <c r="F43" s="13"/>
      <c r="G43" s="13" t="s">
        <v>299</v>
      </c>
      <c r="H43" s="13" t="s">
        <v>116</v>
      </c>
      <c r="I43" s="13" t="s">
        <v>95</v>
      </c>
      <c r="J43" s="13" t="s">
        <v>96</v>
      </c>
      <c r="K43" s="13">
        <v>11</v>
      </c>
      <c r="L43" s="13">
        <v>78341</v>
      </c>
      <c r="M43" s="13" t="str">
        <f t="shared" si="0"/>
        <v>Shruti PatilBachelor</v>
      </c>
      <c r="N43" s="13" t="str">
        <f t="shared" si="1"/>
        <v>Shruti Patil-Bachelor</v>
      </c>
    </row>
    <row r="44" spans="1:14" x14ac:dyDescent="0.3">
      <c r="A44" s="13" t="s">
        <v>300</v>
      </c>
      <c r="B44" s="13" t="s">
        <v>301</v>
      </c>
      <c r="C44" s="13" t="s">
        <v>302</v>
      </c>
      <c r="D44" s="13" t="s">
        <v>303</v>
      </c>
      <c r="E44" s="13" t="s">
        <v>301</v>
      </c>
      <c r="F44" s="13"/>
      <c r="G44" s="13" t="s">
        <v>304</v>
      </c>
      <c r="H44" s="13" t="s">
        <v>149</v>
      </c>
      <c r="I44" s="13" t="s">
        <v>170</v>
      </c>
      <c r="J44" s="13" t="s">
        <v>104</v>
      </c>
      <c r="K44" s="13">
        <v>8</v>
      </c>
      <c r="L44" s="13">
        <v>79324</v>
      </c>
      <c r="M44" s="13" t="str">
        <f t="shared" si="0"/>
        <v>Tejas ThoratMaster</v>
      </c>
      <c r="N44" s="13" t="str">
        <f t="shared" si="1"/>
        <v>Tejas Thorat-Master</v>
      </c>
    </row>
    <row r="45" spans="1:14" x14ac:dyDescent="0.3">
      <c r="A45" s="13" t="s">
        <v>305</v>
      </c>
      <c r="B45" s="13" t="s">
        <v>306</v>
      </c>
      <c r="C45" s="13" t="s">
        <v>307</v>
      </c>
      <c r="D45" s="13" t="s">
        <v>308</v>
      </c>
      <c r="E45" s="13" t="s">
        <v>306</v>
      </c>
      <c r="F45" s="13"/>
      <c r="G45" s="13" t="s">
        <v>142</v>
      </c>
      <c r="H45" s="13" t="s">
        <v>116</v>
      </c>
      <c r="I45" s="13" t="s">
        <v>95</v>
      </c>
      <c r="J45" s="13" t="s">
        <v>104</v>
      </c>
      <c r="K45" s="13">
        <v>11</v>
      </c>
      <c r="L45" s="13">
        <v>47852</v>
      </c>
      <c r="M45" s="13" t="str">
        <f t="shared" si="0"/>
        <v>Harshada RathodBachelor</v>
      </c>
      <c r="N45" s="13" t="str">
        <f t="shared" si="1"/>
        <v>Harshada Rathod-Bachelor</v>
      </c>
    </row>
    <row r="46" spans="1:14" x14ac:dyDescent="0.3">
      <c r="A46" s="13" t="s">
        <v>309</v>
      </c>
      <c r="B46" s="13" t="s">
        <v>310</v>
      </c>
      <c r="C46" s="13" t="s">
        <v>311</v>
      </c>
      <c r="D46" s="13" t="s">
        <v>312</v>
      </c>
      <c r="E46" s="13" t="s">
        <v>310</v>
      </c>
      <c r="F46" s="13"/>
      <c r="G46" s="13" t="s">
        <v>313</v>
      </c>
      <c r="H46" s="13" t="s">
        <v>116</v>
      </c>
      <c r="I46" s="13" t="s">
        <v>103</v>
      </c>
      <c r="J46" s="13" t="s">
        <v>104</v>
      </c>
      <c r="K46" s="13">
        <v>9</v>
      </c>
      <c r="L46" s="13">
        <v>117549</v>
      </c>
      <c r="M46" s="13" t="str">
        <f t="shared" si="0"/>
        <v>Shraddha GorePhD</v>
      </c>
      <c r="N46" s="13" t="str">
        <f t="shared" si="1"/>
        <v>Shraddha Gore-PhD</v>
      </c>
    </row>
    <row r="47" spans="1:14" x14ac:dyDescent="0.3">
      <c r="A47" s="13" t="s">
        <v>314</v>
      </c>
      <c r="B47" s="13" t="s">
        <v>315</v>
      </c>
      <c r="C47" s="13" t="s">
        <v>316</v>
      </c>
      <c r="D47" s="13" t="s">
        <v>317</v>
      </c>
      <c r="E47" s="13" t="s">
        <v>315</v>
      </c>
      <c r="F47" s="13"/>
      <c r="G47" s="13" t="s">
        <v>318</v>
      </c>
      <c r="H47" s="13" t="s">
        <v>149</v>
      </c>
      <c r="I47" s="13" t="s">
        <v>170</v>
      </c>
      <c r="J47" s="13" t="s">
        <v>96</v>
      </c>
      <c r="K47" s="13">
        <v>15</v>
      </c>
      <c r="L47" s="13">
        <v>145308</v>
      </c>
      <c r="M47" s="13" t="str">
        <f t="shared" si="0"/>
        <v>Rajiv KulkarniMaster</v>
      </c>
      <c r="N47" s="13" t="str">
        <f t="shared" si="1"/>
        <v>Rajiv Kulkarni-Master</v>
      </c>
    </row>
    <row r="48" spans="1:14" x14ac:dyDescent="0.3">
      <c r="A48" s="13" t="s">
        <v>319</v>
      </c>
      <c r="B48" s="13" t="s">
        <v>131</v>
      </c>
      <c r="C48" s="13" t="s">
        <v>320</v>
      </c>
      <c r="D48" s="13" t="s">
        <v>321</v>
      </c>
      <c r="E48" s="13" t="s">
        <v>131</v>
      </c>
      <c r="F48" s="13"/>
      <c r="G48" s="13" t="s">
        <v>322</v>
      </c>
      <c r="H48" s="13" t="s">
        <v>116</v>
      </c>
      <c r="I48" s="13" t="s">
        <v>143</v>
      </c>
      <c r="J48" s="13" t="s">
        <v>104</v>
      </c>
      <c r="K48" s="13">
        <v>9</v>
      </c>
      <c r="L48" s="13">
        <v>67663</v>
      </c>
      <c r="M48" s="13" t="str">
        <f t="shared" si="0"/>
        <v>Siddhi PawarDiploma</v>
      </c>
      <c r="N48" s="13" t="str">
        <f t="shared" si="1"/>
        <v>Siddhi Pawar-Diploma</v>
      </c>
    </row>
    <row r="49" spans="1:14" x14ac:dyDescent="0.3">
      <c r="A49" s="13" t="s">
        <v>323</v>
      </c>
      <c r="B49" s="13" t="s">
        <v>324</v>
      </c>
      <c r="C49" s="13" t="s">
        <v>325</v>
      </c>
      <c r="D49" s="13" t="s">
        <v>326</v>
      </c>
      <c r="E49" s="13" t="s">
        <v>324</v>
      </c>
      <c r="F49" s="13"/>
      <c r="G49" s="13" t="s">
        <v>188</v>
      </c>
      <c r="H49" s="13" t="s">
        <v>116</v>
      </c>
      <c r="I49" s="13" t="s">
        <v>103</v>
      </c>
      <c r="J49" s="13" t="s">
        <v>96</v>
      </c>
      <c r="K49" s="13">
        <v>13</v>
      </c>
      <c r="L49" s="13">
        <v>109087</v>
      </c>
      <c r="M49" s="13" t="str">
        <f t="shared" si="0"/>
        <v>Sachin DeshmukhPhD</v>
      </c>
      <c r="N49" s="13" t="str">
        <f t="shared" si="1"/>
        <v>Sachin Deshmukh-PhD</v>
      </c>
    </row>
    <row r="50" spans="1:14" x14ac:dyDescent="0.3">
      <c r="A50" s="13" t="s">
        <v>327</v>
      </c>
      <c r="B50" s="13" t="s">
        <v>328</v>
      </c>
      <c r="C50" s="13" t="s">
        <v>329</v>
      </c>
      <c r="D50" s="13" t="s">
        <v>330</v>
      </c>
      <c r="E50" s="13" t="s">
        <v>328</v>
      </c>
      <c r="F50" s="13"/>
      <c r="G50" s="13" t="s">
        <v>93</v>
      </c>
      <c r="H50" s="13" t="s">
        <v>149</v>
      </c>
      <c r="I50" s="13" t="s">
        <v>95</v>
      </c>
      <c r="J50" s="13" t="s">
        <v>104</v>
      </c>
      <c r="K50" s="13">
        <v>17</v>
      </c>
      <c r="L50" s="13">
        <v>73492</v>
      </c>
      <c r="M50" s="13" t="str">
        <f t="shared" si="0"/>
        <v>Yogesh GajbhiyeBachelor</v>
      </c>
      <c r="N50" s="13" t="str">
        <f t="shared" si="1"/>
        <v>Yogesh Gajbhiye-Bachelor</v>
      </c>
    </row>
    <row r="51" spans="1:14" x14ac:dyDescent="0.3">
      <c r="A51" s="13" t="s">
        <v>331</v>
      </c>
      <c r="B51" s="13" t="s">
        <v>332</v>
      </c>
      <c r="C51" s="13" t="s">
        <v>333</v>
      </c>
      <c r="D51" s="13" t="s">
        <v>334</v>
      </c>
      <c r="E51" s="13" t="s">
        <v>332</v>
      </c>
      <c r="F51" s="13"/>
      <c r="G51" s="13" t="s">
        <v>335</v>
      </c>
      <c r="H51" s="13" t="s">
        <v>149</v>
      </c>
      <c r="I51" s="13" t="s">
        <v>95</v>
      </c>
      <c r="J51" s="13" t="s">
        <v>96</v>
      </c>
      <c r="K51" s="13">
        <v>11</v>
      </c>
      <c r="L51" s="13">
        <v>116781</v>
      </c>
      <c r="M51" s="13" t="str">
        <f t="shared" si="0"/>
        <v>Manisha JadhavBachelor</v>
      </c>
      <c r="N51" s="13" t="str">
        <f t="shared" si="1"/>
        <v>Manisha Jadhav-Bachelor</v>
      </c>
    </row>
    <row r="52" spans="1:14" x14ac:dyDescent="0.3">
      <c r="A52" s="13" t="s">
        <v>336</v>
      </c>
      <c r="B52" s="13" t="s">
        <v>337</v>
      </c>
      <c r="C52" s="13" t="s">
        <v>338</v>
      </c>
      <c r="D52" s="13" t="s">
        <v>339</v>
      </c>
      <c r="E52" s="13" t="s">
        <v>337</v>
      </c>
      <c r="F52" s="13"/>
      <c r="G52" s="13" t="s">
        <v>340</v>
      </c>
      <c r="H52" s="13" t="s">
        <v>149</v>
      </c>
      <c r="I52" s="13" t="s">
        <v>143</v>
      </c>
      <c r="J52" s="13" t="s">
        <v>104</v>
      </c>
      <c r="K52" s="13">
        <v>2</v>
      </c>
      <c r="L52" s="13">
        <v>44104</v>
      </c>
      <c r="M52" s="13" t="str">
        <f t="shared" si="0"/>
        <v>Dinesh SawantDiploma</v>
      </c>
      <c r="N52" s="13" t="str">
        <f t="shared" si="1"/>
        <v>Dinesh Sawant-Diploma</v>
      </c>
    </row>
    <row r="53" spans="1:14" x14ac:dyDescent="0.3">
      <c r="A53" s="13" t="s">
        <v>341</v>
      </c>
      <c r="B53" s="13" t="s">
        <v>342</v>
      </c>
      <c r="C53" s="13" t="s">
        <v>343</v>
      </c>
      <c r="D53" s="13" t="s">
        <v>344</v>
      </c>
      <c r="E53" s="13" t="s">
        <v>342</v>
      </c>
      <c r="F53" s="13"/>
      <c r="G53" s="13" t="s">
        <v>345</v>
      </c>
      <c r="H53" s="13" t="s">
        <v>116</v>
      </c>
      <c r="I53" s="13" t="s">
        <v>103</v>
      </c>
      <c r="J53" s="13" t="s">
        <v>96</v>
      </c>
      <c r="K53" s="13">
        <v>16</v>
      </c>
      <c r="L53" s="13">
        <v>54583</v>
      </c>
      <c r="M53" s="13" t="str">
        <f t="shared" si="0"/>
        <v>Vandana JadhavPhD</v>
      </c>
      <c r="N53" s="13" t="str">
        <f t="shared" si="1"/>
        <v>Vandana Jadhav-PhD</v>
      </c>
    </row>
    <row r="54" spans="1:14" x14ac:dyDescent="0.3">
      <c r="A54" s="13" t="s">
        <v>346</v>
      </c>
      <c r="B54" s="13" t="s">
        <v>347</v>
      </c>
      <c r="C54" s="13" t="s">
        <v>348</v>
      </c>
      <c r="D54" s="13" t="s">
        <v>349</v>
      </c>
      <c r="E54" s="13" t="s">
        <v>347</v>
      </c>
      <c r="F54" s="13"/>
      <c r="G54" s="13" t="s">
        <v>243</v>
      </c>
      <c r="H54" s="13" t="s">
        <v>149</v>
      </c>
      <c r="I54" s="13" t="s">
        <v>95</v>
      </c>
      <c r="J54" s="13" t="s">
        <v>104</v>
      </c>
      <c r="K54" s="13">
        <v>16</v>
      </c>
      <c r="L54" s="13">
        <v>49609</v>
      </c>
      <c r="M54" s="13" t="str">
        <f t="shared" si="0"/>
        <v>Ishwar RathodBachelor</v>
      </c>
      <c r="N54" s="13" t="str">
        <f t="shared" si="1"/>
        <v>Ishwar Rathod-Bachelor</v>
      </c>
    </row>
    <row r="55" spans="1:14" x14ac:dyDescent="0.3">
      <c r="A55" s="13" t="s">
        <v>350</v>
      </c>
      <c r="B55" s="13" t="s">
        <v>351</v>
      </c>
      <c r="C55" s="13" t="s">
        <v>352</v>
      </c>
      <c r="D55" s="13" t="s">
        <v>353</v>
      </c>
      <c r="E55" s="13" t="s">
        <v>351</v>
      </c>
      <c r="F55" s="13"/>
      <c r="G55" s="13" t="s">
        <v>115</v>
      </c>
      <c r="H55" s="13" t="s">
        <v>137</v>
      </c>
      <c r="I55" s="13" t="s">
        <v>103</v>
      </c>
      <c r="J55" s="13" t="s">
        <v>104</v>
      </c>
      <c r="K55" s="13">
        <v>20</v>
      </c>
      <c r="L55" s="13">
        <v>46520</v>
      </c>
      <c r="M55" s="13" t="str">
        <f t="shared" si="0"/>
        <v>Bhushan TambePhD</v>
      </c>
      <c r="N55" s="13" t="str">
        <f t="shared" si="1"/>
        <v>Bhushan Tambe-PhD</v>
      </c>
    </row>
    <row r="56" spans="1:14" x14ac:dyDescent="0.3">
      <c r="A56" s="13" t="s">
        <v>354</v>
      </c>
      <c r="B56" s="13" t="s">
        <v>355</v>
      </c>
      <c r="C56" s="13" t="s">
        <v>356</v>
      </c>
      <c r="D56" s="13" t="s">
        <v>357</v>
      </c>
      <c r="E56" s="13" t="s">
        <v>355</v>
      </c>
      <c r="F56" s="13"/>
      <c r="G56" s="13" t="s">
        <v>358</v>
      </c>
      <c r="H56" s="13" t="s">
        <v>137</v>
      </c>
      <c r="I56" s="13" t="s">
        <v>170</v>
      </c>
      <c r="J56" s="13" t="s">
        <v>96</v>
      </c>
      <c r="K56" s="13">
        <v>7</v>
      </c>
      <c r="L56" s="13">
        <v>87837</v>
      </c>
      <c r="M56" s="13" t="str">
        <f t="shared" si="0"/>
        <v>Shweta NimbalkarMaster</v>
      </c>
      <c r="N56" s="13" t="str">
        <f t="shared" si="1"/>
        <v>Shweta Nimbalkar-Master</v>
      </c>
    </row>
    <row r="57" spans="1:14" x14ac:dyDescent="0.3">
      <c r="A57" s="13" t="s">
        <v>359</v>
      </c>
      <c r="B57" s="13" t="s">
        <v>360</v>
      </c>
      <c r="C57" s="13" t="s">
        <v>361</v>
      </c>
      <c r="D57" s="13" t="s">
        <v>362</v>
      </c>
      <c r="E57" s="13" t="s">
        <v>360</v>
      </c>
      <c r="F57" s="13"/>
      <c r="G57" s="13" t="s">
        <v>248</v>
      </c>
      <c r="H57" s="13" t="s">
        <v>116</v>
      </c>
      <c r="I57" s="13" t="s">
        <v>95</v>
      </c>
      <c r="J57" s="13" t="s">
        <v>96</v>
      </c>
      <c r="K57" s="13">
        <v>17</v>
      </c>
      <c r="L57" s="13">
        <v>40012</v>
      </c>
      <c r="M57" s="13" t="str">
        <f t="shared" si="0"/>
        <v>Swati KulkarniBachelor</v>
      </c>
      <c r="N57" s="13" t="str">
        <f t="shared" si="1"/>
        <v>Swati Kulkarni-Bachelor</v>
      </c>
    </row>
    <row r="58" spans="1:14" x14ac:dyDescent="0.3">
      <c r="A58" s="13" t="s">
        <v>363</v>
      </c>
      <c r="B58" s="13" t="s">
        <v>364</v>
      </c>
      <c r="C58" s="13" t="s">
        <v>365</v>
      </c>
      <c r="D58" s="13" t="s">
        <v>366</v>
      </c>
      <c r="E58" s="13" t="s">
        <v>364</v>
      </c>
      <c r="F58" s="13"/>
      <c r="G58" s="13" t="s">
        <v>221</v>
      </c>
      <c r="H58" s="13" t="s">
        <v>137</v>
      </c>
      <c r="I58" s="13" t="s">
        <v>103</v>
      </c>
      <c r="J58" s="13" t="s">
        <v>96</v>
      </c>
      <c r="K58" s="13">
        <v>10</v>
      </c>
      <c r="L58" s="13">
        <v>100737</v>
      </c>
      <c r="M58" s="13" t="str">
        <f t="shared" si="0"/>
        <v>Vishal ChavanPhD</v>
      </c>
      <c r="N58" s="13" t="str">
        <f t="shared" si="1"/>
        <v>Vishal Chavan-PhD</v>
      </c>
    </row>
    <row r="59" spans="1:14" x14ac:dyDescent="0.3">
      <c r="A59" s="13" t="s">
        <v>367</v>
      </c>
      <c r="B59" s="13" t="s">
        <v>368</v>
      </c>
      <c r="C59" s="13" t="s">
        <v>369</v>
      </c>
      <c r="D59" s="13" t="s">
        <v>370</v>
      </c>
      <c r="E59" s="13" t="s">
        <v>368</v>
      </c>
      <c r="F59" s="13"/>
      <c r="G59" s="13" t="s">
        <v>371</v>
      </c>
      <c r="H59" s="13" t="s">
        <v>116</v>
      </c>
      <c r="I59" s="13" t="s">
        <v>143</v>
      </c>
      <c r="J59" s="13" t="s">
        <v>104</v>
      </c>
      <c r="K59" s="13">
        <v>16</v>
      </c>
      <c r="L59" s="13">
        <v>99616</v>
      </c>
      <c r="M59" s="13" t="str">
        <f t="shared" si="0"/>
        <v>Rupal ThoratDiploma</v>
      </c>
      <c r="N59" s="13" t="str">
        <f t="shared" si="1"/>
        <v>Rupal Thorat-Diploma</v>
      </c>
    </row>
    <row r="60" spans="1:14" x14ac:dyDescent="0.3">
      <c r="A60" s="13" t="s">
        <v>372</v>
      </c>
      <c r="B60" s="13" t="s">
        <v>373</v>
      </c>
      <c r="C60" s="13" t="s">
        <v>374</v>
      </c>
      <c r="D60" s="13" t="s">
        <v>375</v>
      </c>
      <c r="E60" s="13" t="s">
        <v>373</v>
      </c>
      <c r="F60" s="13"/>
      <c r="G60" s="13" t="s">
        <v>131</v>
      </c>
      <c r="H60" s="13" t="s">
        <v>149</v>
      </c>
      <c r="I60" s="13" t="s">
        <v>143</v>
      </c>
      <c r="J60" s="13" t="s">
        <v>104</v>
      </c>
      <c r="K60" s="13">
        <v>9</v>
      </c>
      <c r="L60" s="13">
        <v>74441</v>
      </c>
      <c r="M60" s="13" t="str">
        <f t="shared" si="0"/>
        <v>Kunal TambeDiploma</v>
      </c>
      <c r="N60" s="13" t="str">
        <f t="shared" si="1"/>
        <v>Kunal Tambe-Diploma</v>
      </c>
    </row>
    <row r="61" spans="1:14" x14ac:dyDescent="0.3">
      <c r="A61" s="13" t="s">
        <v>376</v>
      </c>
      <c r="B61" s="13" t="s">
        <v>377</v>
      </c>
      <c r="C61" s="13" t="s">
        <v>378</v>
      </c>
      <c r="D61" s="13" t="s">
        <v>379</v>
      </c>
      <c r="E61" s="13" t="s">
        <v>377</v>
      </c>
      <c r="F61" s="13"/>
      <c r="G61" s="13" t="s">
        <v>380</v>
      </c>
      <c r="H61" s="13" t="s">
        <v>149</v>
      </c>
      <c r="I61" s="13" t="s">
        <v>103</v>
      </c>
      <c r="J61" s="13" t="s">
        <v>104</v>
      </c>
      <c r="K61" s="13">
        <v>4</v>
      </c>
      <c r="L61" s="13">
        <v>132909</v>
      </c>
      <c r="M61" s="13" t="str">
        <f t="shared" si="0"/>
        <v>Bhushan KulkarniPhD</v>
      </c>
      <c r="N61" s="13" t="str">
        <f t="shared" si="1"/>
        <v>Bhushan Kulkarni-PhD</v>
      </c>
    </row>
    <row r="62" spans="1:14" x14ac:dyDescent="0.3">
      <c r="A62" s="13" t="s">
        <v>381</v>
      </c>
      <c r="B62" s="13" t="s">
        <v>382</v>
      </c>
      <c r="C62" s="13" t="s">
        <v>383</v>
      </c>
      <c r="D62" s="13" t="s">
        <v>384</v>
      </c>
      <c r="E62" s="13" t="s">
        <v>382</v>
      </c>
      <c r="F62" s="13"/>
      <c r="G62" s="13" t="s">
        <v>371</v>
      </c>
      <c r="H62" s="13" t="s">
        <v>102</v>
      </c>
      <c r="I62" s="13" t="s">
        <v>143</v>
      </c>
      <c r="J62" s="13" t="s">
        <v>104</v>
      </c>
      <c r="K62" s="13">
        <v>18</v>
      </c>
      <c r="L62" s="13">
        <v>117625</v>
      </c>
      <c r="M62" s="13" t="str">
        <f t="shared" si="0"/>
        <v>Dinesh KadamDiploma</v>
      </c>
      <c r="N62" s="13" t="str">
        <f t="shared" si="1"/>
        <v>Dinesh Kadam-Diploma</v>
      </c>
    </row>
    <row r="63" spans="1:14" x14ac:dyDescent="0.3">
      <c r="A63" s="13" t="s">
        <v>385</v>
      </c>
      <c r="B63" s="13" t="s">
        <v>386</v>
      </c>
      <c r="C63" s="13" t="s">
        <v>387</v>
      </c>
      <c r="D63" s="13" t="s">
        <v>388</v>
      </c>
      <c r="E63" s="13" t="s">
        <v>386</v>
      </c>
      <c r="F63" s="13"/>
      <c r="G63" s="13" t="s">
        <v>318</v>
      </c>
      <c r="H63" s="13" t="s">
        <v>137</v>
      </c>
      <c r="I63" s="13" t="s">
        <v>170</v>
      </c>
      <c r="J63" s="13" t="s">
        <v>96</v>
      </c>
      <c r="K63" s="13">
        <v>10</v>
      </c>
      <c r="L63" s="13">
        <v>106332</v>
      </c>
      <c r="M63" s="13" t="str">
        <f t="shared" si="0"/>
        <v>Aishwarya BhosaleMaster</v>
      </c>
      <c r="N63" s="13" t="str">
        <f t="shared" si="1"/>
        <v>Aishwarya Bhosale-Master</v>
      </c>
    </row>
    <row r="64" spans="1:14" x14ac:dyDescent="0.3">
      <c r="A64" s="13" t="s">
        <v>389</v>
      </c>
      <c r="B64" s="13" t="s">
        <v>284</v>
      </c>
      <c r="C64" s="13" t="s">
        <v>390</v>
      </c>
      <c r="D64" s="13" t="s">
        <v>391</v>
      </c>
      <c r="E64" s="13" t="s">
        <v>284</v>
      </c>
      <c r="F64" s="13"/>
      <c r="G64" s="13" t="s">
        <v>392</v>
      </c>
      <c r="H64" s="13" t="s">
        <v>94</v>
      </c>
      <c r="I64" s="13" t="s">
        <v>103</v>
      </c>
      <c r="J64" s="13" t="s">
        <v>104</v>
      </c>
      <c r="K64" s="13">
        <v>15</v>
      </c>
      <c r="L64" s="13">
        <v>131724</v>
      </c>
      <c r="M64" s="13" t="str">
        <f t="shared" si="0"/>
        <v>Aparna GorePhD</v>
      </c>
      <c r="N64" s="13" t="str">
        <f t="shared" si="1"/>
        <v>Aparna Gore-PhD</v>
      </c>
    </row>
    <row r="65" spans="1:14" x14ac:dyDescent="0.3">
      <c r="A65" s="13" t="s">
        <v>393</v>
      </c>
      <c r="B65" s="13" t="s">
        <v>394</v>
      </c>
      <c r="C65" s="13" t="s">
        <v>395</v>
      </c>
      <c r="D65" s="13" t="s">
        <v>396</v>
      </c>
      <c r="E65" s="13" t="s">
        <v>394</v>
      </c>
      <c r="F65" s="13"/>
      <c r="G65" s="13" t="s">
        <v>397</v>
      </c>
      <c r="H65" s="13" t="s">
        <v>94</v>
      </c>
      <c r="I65" s="13" t="s">
        <v>143</v>
      </c>
      <c r="J65" s="13" t="s">
        <v>104</v>
      </c>
      <c r="K65" s="13">
        <v>14</v>
      </c>
      <c r="L65" s="13">
        <v>115738</v>
      </c>
      <c r="M65" s="13" t="str">
        <f t="shared" si="0"/>
        <v>Vinay JadhavDiploma</v>
      </c>
      <c r="N65" s="13" t="str">
        <f t="shared" si="1"/>
        <v>Vinay Jadhav-Diploma</v>
      </c>
    </row>
    <row r="66" spans="1:14" x14ac:dyDescent="0.3">
      <c r="A66" s="13" t="s">
        <v>398</v>
      </c>
      <c r="B66" s="13" t="s">
        <v>306</v>
      </c>
      <c r="C66" s="13" t="s">
        <v>307</v>
      </c>
      <c r="D66" s="13" t="s">
        <v>308</v>
      </c>
      <c r="E66" s="13" t="s">
        <v>306</v>
      </c>
      <c r="F66" s="13"/>
      <c r="G66" s="13" t="s">
        <v>399</v>
      </c>
      <c r="H66" s="13" t="s">
        <v>94</v>
      </c>
      <c r="I66" s="13" t="s">
        <v>170</v>
      </c>
      <c r="J66" s="13" t="s">
        <v>104</v>
      </c>
      <c r="K66" s="13">
        <v>15</v>
      </c>
      <c r="L66" s="13">
        <v>43693</v>
      </c>
      <c r="M66" s="13" t="str">
        <f t="shared" si="0"/>
        <v>Harshada RathodMaster</v>
      </c>
      <c r="N66" s="13" t="str">
        <f t="shared" si="1"/>
        <v>Harshada Rathod-Master</v>
      </c>
    </row>
    <row r="67" spans="1:14" x14ac:dyDescent="0.3">
      <c r="A67" s="13" t="s">
        <v>400</v>
      </c>
      <c r="B67" s="13" t="s">
        <v>401</v>
      </c>
      <c r="C67" s="13" t="s">
        <v>402</v>
      </c>
      <c r="D67" s="13" t="s">
        <v>403</v>
      </c>
      <c r="E67" s="13" t="s">
        <v>401</v>
      </c>
      <c r="F67" s="13"/>
      <c r="G67" s="13" t="s">
        <v>404</v>
      </c>
      <c r="H67" s="13" t="s">
        <v>94</v>
      </c>
      <c r="I67" s="13" t="s">
        <v>103</v>
      </c>
      <c r="J67" s="13" t="s">
        <v>104</v>
      </c>
      <c r="K67" s="13">
        <v>6</v>
      </c>
      <c r="L67" s="13">
        <v>53221</v>
      </c>
      <c r="M67" s="13" t="str">
        <f t="shared" ref="M67:M101" si="2">_xlfn.CONCAT(B67,I67)</f>
        <v>Dinesh PatilPhD</v>
      </c>
      <c r="N67" s="13" t="str">
        <f t="shared" ref="N67:N101" si="3">_xlfn.TEXTJOIN("-",TRUE,B67,I67)</f>
        <v>Dinesh Patil-PhD</v>
      </c>
    </row>
    <row r="68" spans="1:14" x14ac:dyDescent="0.3">
      <c r="A68" s="13" t="s">
        <v>405</v>
      </c>
      <c r="B68" s="13" t="s">
        <v>406</v>
      </c>
      <c r="C68" s="13" t="s">
        <v>407</v>
      </c>
      <c r="D68" s="13" t="s">
        <v>408</v>
      </c>
      <c r="E68" s="13" t="s">
        <v>406</v>
      </c>
      <c r="F68" s="13"/>
      <c r="G68" s="13" t="s">
        <v>409</v>
      </c>
      <c r="H68" s="13" t="s">
        <v>110</v>
      </c>
      <c r="I68" s="13" t="s">
        <v>95</v>
      </c>
      <c r="J68" s="13" t="s">
        <v>104</v>
      </c>
      <c r="K68" s="13">
        <v>5</v>
      </c>
      <c r="L68" s="13">
        <v>122120</v>
      </c>
      <c r="M68" s="13" t="str">
        <f t="shared" si="2"/>
        <v>Sanjay DeshmukhBachelor</v>
      </c>
      <c r="N68" s="13" t="str">
        <f t="shared" si="3"/>
        <v>Sanjay Deshmukh-Bachelor</v>
      </c>
    </row>
    <row r="69" spans="1:14" x14ac:dyDescent="0.3">
      <c r="A69" s="13" t="s">
        <v>410</v>
      </c>
      <c r="B69" s="13" t="s">
        <v>411</v>
      </c>
      <c r="C69" s="13" t="s">
        <v>412</v>
      </c>
      <c r="D69" s="13" t="s">
        <v>413</v>
      </c>
      <c r="E69" s="13" t="s">
        <v>411</v>
      </c>
      <c r="F69" s="13"/>
      <c r="G69" s="13" t="s">
        <v>115</v>
      </c>
      <c r="H69" s="13" t="s">
        <v>149</v>
      </c>
      <c r="I69" s="13" t="s">
        <v>103</v>
      </c>
      <c r="J69" s="13" t="s">
        <v>104</v>
      </c>
      <c r="K69" s="13">
        <v>9</v>
      </c>
      <c r="L69" s="13">
        <v>142285</v>
      </c>
      <c r="M69" s="13" t="str">
        <f t="shared" si="2"/>
        <v>Vikas PatilPhD</v>
      </c>
      <c r="N69" s="13" t="str">
        <f t="shared" si="3"/>
        <v>Vikas Patil-PhD</v>
      </c>
    </row>
    <row r="70" spans="1:14" x14ac:dyDescent="0.3">
      <c r="A70" s="13" t="s">
        <v>414</v>
      </c>
      <c r="B70" s="13" t="s">
        <v>415</v>
      </c>
      <c r="C70" s="13" t="s">
        <v>416</v>
      </c>
      <c r="D70" s="13" t="s">
        <v>417</v>
      </c>
      <c r="E70" s="13" t="s">
        <v>415</v>
      </c>
      <c r="F70" s="13"/>
      <c r="G70" s="13" t="s">
        <v>418</v>
      </c>
      <c r="H70" s="13" t="s">
        <v>110</v>
      </c>
      <c r="I70" s="13" t="s">
        <v>143</v>
      </c>
      <c r="J70" s="13" t="s">
        <v>104</v>
      </c>
      <c r="K70" s="13">
        <v>11</v>
      </c>
      <c r="L70" s="13">
        <v>125508</v>
      </c>
      <c r="M70" s="13" t="str">
        <f t="shared" si="2"/>
        <v>Shweta PatilDiploma</v>
      </c>
      <c r="N70" s="13" t="str">
        <f t="shared" si="3"/>
        <v>Shweta Patil-Diploma</v>
      </c>
    </row>
    <row r="71" spans="1:14" x14ac:dyDescent="0.3">
      <c r="A71" s="13" t="s">
        <v>419</v>
      </c>
      <c r="B71" s="13" t="s">
        <v>420</v>
      </c>
      <c r="C71" s="13" t="s">
        <v>421</v>
      </c>
      <c r="D71" s="13" t="s">
        <v>422</v>
      </c>
      <c r="E71" s="13" t="s">
        <v>420</v>
      </c>
      <c r="F71" s="13"/>
      <c r="G71" s="13" t="s">
        <v>392</v>
      </c>
      <c r="H71" s="13" t="s">
        <v>102</v>
      </c>
      <c r="I71" s="13" t="s">
        <v>103</v>
      </c>
      <c r="J71" s="13" t="s">
        <v>96</v>
      </c>
      <c r="K71" s="13">
        <v>13</v>
      </c>
      <c r="L71" s="13">
        <v>124920</v>
      </c>
      <c r="M71" s="13" t="str">
        <f t="shared" si="2"/>
        <v>Madhavi JoshiPhD</v>
      </c>
      <c r="N71" s="13" t="str">
        <f t="shared" si="3"/>
        <v>Madhavi Joshi-PhD</v>
      </c>
    </row>
    <row r="72" spans="1:14" x14ac:dyDescent="0.3">
      <c r="A72" s="13" t="s">
        <v>423</v>
      </c>
      <c r="B72" s="13" t="s">
        <v>424</v>
      </c>
      <c r="C72" s="13" t="s">
        <v>425</v>
      </c>
      <c r="D72" s="13" t="s">
        <v>426</v>
      </c>
      <c r="E72" s="13" t="s">
        <v>424</v>
      </c>
      <c r="F72" s="13"/>
      <c r="G72" s="13" t="s">
        <v>427</v>
      </c>
      <c r="H72" s="13" t="s">
        <v>149</v>
      </c>
      <c r="I72" s="13" t="s">
        <v>143</v>
      </c>
      <c r="J72" s="13" t="s">
        <v>96</v>
      </c>
      <c r="K72" s="13">
        <v>14</v>
      </c>
      <c r="L72" s="13">
        <v>66059</v>
      </c>
      <c r="M72" s="13" t="str">
        <f t="shared" si="2"/>
        <v>Nikhil PatilDiploma</v>
      </c>
      <c r="N72" s="13" t="str">
        <f t="shared" si="3"/>
        <v>Nikhil Patil-Diploma</v>
      </c>
    </row>
    <row r="73" spans="1:14" x14ac:dyDescent="0.3">
      <c r="A73" s="13" t="s">
        <v>428</v>
      </c>
      <c r="B73" s="13" t="s">
        <v>429</v>
      </c>
      <c r="C73" s="13" t="s">
        <v>430</v>
      </c>
      <c r="D73" s="13" t="s">
        <v>431</v>
      </c>
      <c r="E73" s="13" t="s">
        <v>429</v>
      </c>
      <c r="F73" s="13"/>
      <c r="G73" s="13" t="s">
        <v>335</v>
      </c>
      <c r="H73" s="13" t="s">
        <v>116</v>
      </c>
      <c r="I73" s="13" t="s">
        <v>170</v>
      </c>
      <c r="J73" s="13" t="s">
        <v>96</v>
      </c>
      <c r="K73" s="13">
        <v>14</v>
      </c>
      <c r="L73" s="13">
        <v>74783</v>
      </c>
      <c r="M73" s="13" t="str">
        <f t="shared" si="2"/>
        <v>Dinesh BhosaleMaster</v>
      </c>
      <c r="N73" s="13" t="str">
        <f t="shared" si="3"/>
        <v>Dinesh Bhosale-Master</v>
      </c>
    </row>
    <row r="74" spans="1:14" x14ac:dyDescent="0.3">
      <c r="A74" s="13" t="s">
        <v>432</v>
      </c>
      <c r="B74" s="13" t="s">
        <v>433</v>
      </c>
      <c r="C74" s="13" t="s">
        <v>434</v>
      </c>
      <c r="D74" s="13" t="s">
        <v>435</v>
      </c>
      <c r="E74" s="13" t="s">
        <v>433</v>
      </c>
      <c r="F74" s="13"/>
      <c r="G74" s="13" t="s">
        <v>436</v>
      </c>
      <c r="H74" s="13" t="s">
        <v>137</v>
      </c>
      <c r="I74" s="13" t="s">
        <v>103</v>
      </c>
      <c r="J74" s="13" t="s">
        <v>96</v>
      </c>
      <c r="K74" s="13">
        <v>13</v>
      </c>
      <c r="L74" s="13">
        <v>75495</v>
      </c>
      <c r="M74" s="13" t="str">
        <f t="shared" si="2"/>
        <v>Shruti GorePhD</v>
      </c>
      <c r="N74" s="13" t="str">
        <f t="shared" si="3"/>
        <v>Shruti Gore-PhD</v>
      </c>
    </row>
    <row r="75" spans="1:14" x14ac:dyDescent="0.3">
      <c r="A75" s="13" t="s">
        <v>437</v>
      </c>
      <c r="B75" s="13" t="s">
        <v>438</v>
      </c>
      <c r="C75" s="13" t="s">
        <v>439</v>
      </c>
      <c r="D75" s="13" t="s">
        <v>440</v>
      </c>
      <c r="E75" s="13" t="s">
        <v>438</v>
      </c>
      <c r="F75" s="13"/>
      <c r="G75" s="13" t="s">
        <v>243</v>
      </c>
      <c r="H75" s="13" t="s">
        <v>94</v>
      </c>
      <c r="I75" s="13" t="s">
        <v>170</v>
      </c>
      <c r="J75" s="13" t="s">
        <v>104</v>
      </c>
      <c r="K75" s="13">
        <v>16</v>
      </c>
      <c r="L75" s="13">
        <v>111782</v>
      </c>
      <c r="M75" s="13" t="str">
        <f t="shared" si="2"/>
        <v>Vaibhav NimbalkarMaster</v>
      </c>
      <c r="N75" s="13" t="str">
        <f t="shared" si="3"/>
        <v>Vaibhav Nimbalkar-Master</v>
      </c>
    </row>
    <row r="76" spans="1:14" x14ac:dyDescent="0.3">
      <c r="A76" s="13" t="s">
        <v>441</v>
      </c>
      <c r="B76" s="13" t="s">
        <v>442</v>
      </c>
      <c r="C76" s="13" t="s">
        <v>443</v>
      </c>
      <c r="D76" s="13" t="s">
        <v>444</v>
      </c>
      <c r="E76" s="13" t="s">
        <v>442</v>
      </c>
      <c r="F76" s="13"/>
      <c r="G76" s="13" t="s">
        <v>159</v>
      </c>
      <c r="H76" s="13" t="s">
        <v>116</v>
      </c>
      <c r="I76" s="13" t="s">
        <v>170</v>
      </c>
      <c r="J76" s="13" t="s">
        <v>104</v>
      </c>
      <c r="K76" s="13">
        <v>20</v>
      </c>
      <c r="L76" s="13">
        <v>122916</v>
      </c>
      <c r="M76" s="13" t="str">
        <f t="shared" si="2"/>
        <v>Ravindra TambeMaster</v>
      </c>
      <c r="N76" s="13" t="str">
        <f t="shared" si="3"/>
        <v>Ravindra Tambe-Master</v>
      </c>
    </row>
    <row r="77" spans="1:14" x14ac:dyDescent="0.3">
      <c r="A77" s="13" t="s">
        <v>445</v>
      </c>
      <c r="B77" s="13" t="s">
        <v>446</v>
      </c>
      <c r="C77" s="13" t="s">
        <v>447</v>
      </c>
      <c r="D77" s="13" t="s">
        <v>448</v>
      </c>
      <c r="E77" s="13" t="s">
        <v>446</v>
      </c>
      <c r="F77" s="13"/>
      <c r="G77" s="13" t="s">
        <v>449</v>
      </c>
      <c r="H77" s="13" t="s">
        <v>94</v>
      </c>
      <c r="I77" s="13" t="s">
        <v>170</v>
      </c>
      <c r="J77" s="13" t="s">
        <v>96</v>
      </c>
      <c r="K77" s="13">
        <v>10</v>
      </c>
      <c r="L77" s="13">
        <v>118193</v>
      </c>
      <c r="M77" s="13" t="str">
        <f t="shared" si="2"/>
        <v>Ashwini PawarMaster</v>
      </c>
      <c r="N77" s="13" t="str">
        <f t="shared" si="3"/>
        <v>Ashwini Pawar-Master</v>
      </c>
    </row>
    <row r="78" spans="1:14" x14ac:dyDescent="0.3">
      <c r="A78" s="13" t="s">
        <v>450</v>
      </c>
      <c r="B78" s="13" t="s">
        <v>451</v>
      </c>
      <c r="C78" s="13" t="s">
        <v>452</v>
      </c>
      <c r="D78" s="13" t="s">
        <v>453</v>
      </c>
      <c r="E78" s="13" t="s">
        <v>451</v>
      </c>
      <c r="F78" s="13"/>
      <c r="G78" s="13" t="s">
        <v>454</v>
      </c>
      <c r="H78" s="13" t="s">
        <v>137</v>
      </c>
      <c r="I78" s="13" t="s">
        <v>95</v>
      </c>
      <c r="J78" s="13" t="s">
        <v>96</v>
      </c>
      <c r="K78" s="13">
        <v>14</v>
      </c>
      <c r="L78" s="13">
        <v>83808</v>
      </c>
      <c r="M78" s="13" t="str">
        <f t="shared" si="2"/>
        <v>Yogesh RathodBachelor</v>
      </c>
      <c r="N78" s="13" t="str">
        <f t="shared" si="3"/>
        <v>Yogesh Rathod-Bachelor</v>
      </c>
    </row>
    <row r="79" spans="1:14" x14ac:dyDescent="0.3">
      <c r="A79" s="13" t="s">
        <v>455</v>
      </c>
      <c r="B79" s="13" t="s">
        <v>456</v>
      </c>
      <c r="C79" s="13" t="s">
        <v>457</v>
      </c>
      <c r="D79" s="13" t="s">
        <v>458</v>
      </c>
      <c r="E79" s="13" t="s">
        <v>456</v>
      </c>
      <c r="F79" s="13"/>
      <c r="G79" s="13" t="s">
        <v>459</v>
      </c>
      <c r="H79" s="13" t="s">
        <v>94</v>
      </c>
      <c r="I79" s="13" t="s">
        <v>95</v>
      </c>
      <c r="J79" s="13" t="s">
        <v>96</v>
      </c>
      <c r="K79" s="13">
        <v>14</v>
      </c>
      <c r="L79" s="13">
        <v>104460</v>
      </c>
      <c r="M79" s="13" t="str">
        <f t="shared" si="2"/>
        <v>Pooja NimbalkarBachelor</v>
      </c>
      <c r="N79" s="13" t="str">
        <f t="shared" si="3"/>
        <v>Pooja Nimbalkar-Bachelor</v>
      </c>
    </row>
    <row r="80" spans="1:14" x14ac:dyDescent="0.3">
      <c r="A80" s="13" t="s">
        <v>460</v>
      </c>
      <c r="B80" s="13" t="s">
        <v>461</v>
      </c>
      <c r="C80" s="13" t="s">
        <v>462</v>
      </c>
      <c r="D80" s="13" t="s">
        <v>463</v>
      </c>
      <c r="E80" s="13" t="s">
        <v>461</v>
      </c>
      <c r="F80" s="13"/>
      <c r="G80" s="13" t="s">
        <v>148</v>
      </c>
      <c r="H80" s="13" t="s">
        <v>149</v>
      </c>
      <c r="I80" s="13" t="s">
        <v>103</v>
      </c>
      <c r="J80" s="13" t="s">
        <v>96</v>
      </c>
      <c r="K80" s="13">
        <v>6</v>
      </c>
      <c r="L80" s="13">
        <v>142447</v>
      </c>
      <c r="M80" s="13" t="str">
        <f t="shared" si="2"/>
        <v>Aishwarya NimbalkarPhD</v>
      </c>
      <c r="N80" s="13" t="str">
        <f t="shared" si="3"/>
        <v>Aishwarya Nimbalkar-PhD</v>
      </c>
    </row>
    <row r="81" spans="1:14" x14ac:dyDescent="0.3">
      <c r="A81" s="13" t="s">
        <v>464</v>
      </c>
      <c r="B81" s="13" t="s">
        <v>465</v>
      </c>
      <c r="C81" s="13" t="s">
        <v>466</v>
      </c>
      <c r="D81" s="13" t="s">
        <v>467</v>
      </c>
      <c r="E81" s="13" t="s">
        <v>465</v>
      </c>
      <c r="F81" s="13"/>
      <c r="G81" s="13" t="s">
        <v>198</v>
      </c>
      <c r="H81" s="13" t="s">
        <v>137</v>
      </c>
      <c r="I81" s="13" t="s">
        <v>103</v>
      </c>
      <c r="J81" s="13" t="s">
        <v>104</v>
      </c>
      <c r="K81" s="13">
        <v>2</v>
      </c>
      <c r="L81" s="13">
        <v>57293</v>
      </c>
      <c r="M81" s="13" t="str">
        <f t="shared" si="2"/>
        <v>Ishwar TambePhD</v>
      </c>
      <c r="N81" s="13" t="str">
        <f t="shared" si="3"/>
        <v>Ishwar Tambe-PhD</v>
      </c>
    </row>
    <row r="82" spans="1:14" x14ac:dyDescent="0.3">
      <c r="A82" s="13" t="s">
        <v>468</v>
      </c>
      <c r="B82" s="13" t="s">
        <v>469</v>
      </c>
      <c r="C82" s="13" t="s">
        <v>470</v>
      </c>
      <c r="D82" s="13" t="s">
        <v>471</v>
      </c>
      <c r="E82" s="13" t="s">
        <v>469</v>
      </c>
      <c r="F82" s="13"/>
      <c r="G82" s="13" t="s">
        <v>142</v>
      </c>
      <c r="H82" s="13" t="s">
        <v>94</v>
      </c>
      <c r="I82" s="13" t="s">
        <v>143</v>
      </c>
      <c r="J82" s="13" t="s">
        <v>96</v>
      </c>
      <c r="K82" s="13">
        <v>18</v>
      </c>
      <c r="L82" s="13">
        <v>40966</v>
      </c>
      <c r="M82" s="13" t="str">
        <f t="shared" si="2"/>
        <v>Harshada PatilDiploma</v>
      </c>
      <c r="N82" s="13" t="str">
        <f t="shared" si="3"/>
        <v>Harshada Patil-Diploma</v>
      </c>
    </row>
    <row r="83" spans="1:14" x14ac:dyDescent="0.3">
      <c r="A83" s="13" t="s">
        <v>472</v>
      </c>
      <c r="B83" s="13" t="s">
        <v>473</v>
      </c>
      <c r="C83" s="13" t="s">
        <v>474</v>
      </c>
      <c r="D83" s="13" t="s">
        <v>475</v>
      </c>
      <c r="E83" s="13" t="s">
        <v>473</v>
      </c>
      <c r="F83" s="13"/>
      <c r="G83" s="13" t="s">
        <v>121</v>
      </c>
      <c r="H83" s="13" t="s">
        <v>102</v>
      </c>
      <c r="I83" s="13" t="s">
        <v>143</v>
      </c>
      <c r="J83" s="13" t="s">
        <v>104</v>
      </c>
      <c r="K83" s="13">
        <v>18</v>
      </c>
      <c r="L83" s="13">
        <v>136828</v>
      </c>
      <c r="M83" s="13" t="str">
        <f t="shared" si="2"/>
        <v>Yogesh KulkarniDiploma</v>
      </c>
      <c r="N83" s="13" t="str">
        <f t="shared" si="3"/>
        <v>Yogesh Kulkarni-Diploma</v>
      </c>
    </row>
    <row r="84" spans="1:14" x14ac:dyDescent="0.3">
      <c r="A84" s="13" t="s">
        <v>476</v>
      </c>
      <c r="B84" s="13" t="s">
        <v>477</v>
      </c>
      <c r="C84" s="13" t="s">
        <v>478</v>
      </c>
      <c r="D84" s="13" t="s">
        <v>479</v>
      </c>
      <c r="E84" s="13" t="s">
        <v>477</v>
      </c>
      <c r="F84" s="13"/>
      <c r="G84" s="13" t="s">
        <v>480</v>
      </c>
      <c r="H84" s="13" t="s">
        <v>110</v>
      </c>
      <c r="I84" s="13" t="s">
        <v>103</v>
      </c>
      <c r="J84" s="13" t="s">
        <v>104</v>
      </c>
      <c r="K84" s="13">
        <v>1</v>
      </c>
      <c r="L84" s="13">
        <v>103601</v>
      </c>
      <c r="M84" s="13" t="str">
        <f t="shared" si="2"/>
        <v>Pradeep GajbhiyePhD</v>
      </c>
      <c r="N84" s="13" t="str">
        <f t="shared" si="3"/>
        <v>Pradeep Gajbhiye-PhD</v>
      </c>
    </row>
    <row r="85" spans="1:14" x14ac:dyDescent="0.3">
      <c r="A85" s="13" t="s">
        <v>481</v>
      </c>
      <c r="B85" s="13" t="s">
        <v>482</v>
      </c>
      <c r="C85" s="13" t="s">
        <v>483</v>
      </c>
      <c r="D85" s="13" t="s">
        <v>484</v>
      </c>
      <c r="E85" s="13" t="s">
        <v>482</v>
      </c>
      <c r="F85" s="13"/>
      <c r="G85" s="13" t="s">
        <v>485</v>
      </c>
      <c r="H85" s="13" t="s">
        <v>137</v>
      </c>
      <c r="I85" s="13" t="s">
        <v>95</v>
      </c>
      <c r="J85" s="13" t="s">
        <v>96</v>
      </c>
      <c r="K85" s="13">
        <v>4</v>
      </c>
      <c r="L85" s="13">
        <v>52957</v>
      </c>
      <c r="M85" s="13" t="str">
        <f t="shared" si="2"/>
        <v>Swati TiwariBachelor</v>
      </c>
      <c r="N85" s="13" t="str">
        <f t="shared" si="3"/>
        <v>Swati Tiwari-Bachelor</v>
      </c>
    </row>
    <row r="86" spans="1:14" x14ac:dyDescent="0.3">
      <c r="A86" s="13" t="s">
        <v>486</v>
      </c>
      <c r="B86" s="13" t="s">
        <v>487</v>
      </c>
      <c r="C86" s="13" t="s">
        <v>488</v>
      </c>
      <c r="D86" s="13" t="s">
        <v>489</v>
      </c>
      <c r="E86" s="13" t="s">
        <v>487</v>
      </c>
      <c r="F86" s="13"/>
      <c r="G86" s="13" t="s">
        <v>480</v>
      </c>
      <c r="H86" s="13" t="s">
        <v>94</v>
      </c>
      <c r="I86" s="13" t="s">
        <v>103</v>
      </c>
      <c r="J86" s="13" t="s">
        <v>104</v>
      </c>
      <c r="K86" s="13">
        <v>18</v>
      </c>
      <c r="L86" s="13">
        <v>102739</v>
      </c>
      <c r="M86" s="13" t="str">
        <f t="shared" si="2"/>
        <v>Pooja SawantPhD</v>
      </c>
      <c r="N86" s="13" t="str">
        <f t="shared" si="3"/>
        <v>Pooja Sawant-PhD</v>
      </c>
    </row>
    <row r="87" spans="1:14" x14ac:dyDescent="0.3">
      <c r="A87" s="13" t="s">
        <v>490</v>
      </c>
      <c r="B87" s="13" t="s">
        <v>491</v>
      </c>
      <c r="C87" s="13" t="s">
        <v>492</v>
      </c>
      <c r="D87" s="13" t="s">
        <v>493</v>
      </c>
      <c r="E87" s="13" t="s">
        <v>491</v>
      </c>
      <c r="F87" s="13"/>
      <c r="G87" s="13" t="s">
        <v>380</v>
      </c>
      <c r="H87" s="13" t="s">
        <v>137</v>
      </c>
      <c r="I87" s="13" t="s">
        <v>103</v>
      </c>
      <c r="J87" s="13" t="s">
        <v>96</v>
      </c>
      <c r="K87" s="13">
        <v>7</v>
      </c>
      <c r="L87" s="13">
        <v>73961</v>
      </c>
      <c r="M87" s="13" t="str">
        <f t="shared" si="2"/>
        <v>Sachin JoshiPhD</v>
      </c>
      <c r="N87" s="13" t="str">
        <f t="shared" si="3"/>
        <v>Sachin Joshi-PhD</v>
      </c>
    </row>
    <row r="88" spans="1:14" x14ac:dyDescent="0.3">
      <c r="A88" s="13" t="s">
        <v>494</v>
      </c>
      <c r="B88" s="13" t="s">
        <v>495</v>
      </c>
      <c r="C88" s="13" t="s">
        <v>496</v>
      </c>
      <c r="D88" s="13" t="s">
        <v>497</v>
      </c>
      <c r="E88" s="13" t="s">
        <v>495</v>
      </c>
      <c r="F88" s="13"/>
      <c r="G88" s="13" t="s">
        <v>136</v>
      </c>
      <c r="H88" s="13" t="s">
        <v>149</v>
      </c>
      <c r="I88" s="13" t="s">
        <v>95</v>
      </c>
      <c r="J88" s="13" t="s">
        <v>96</v>
      </c>
      <c r="K88" s="13">
        <v>18</v>
      </c>
      <c r="L88" s="13">
        <v>93384</v>
      </c>
      <c r="M88" s="13" t="str">
        <f t="shared" si="2"/>
        <v>Komal DeshmukhBachelor</v>
      </c>
      <c r="N88" s="13" t="str">
        <f t="shared" si="3"/>
        <v>Komal Deshmukh-Bachelor</v>
      </c>
    </row>
    <row r="89" spans="1:14" x14ac:dyDescent="0.3">
      <c r="A89" s="13" t="s">
        <v>498</v>
      </c>
      <c r="B89" s="13" t="s">
        <v>499</v>
      </c>
      <c r="C89" s="13" t="s">
        <v>500</v>
      </c>
      <c r="D89" s="13" t="s">
        <v>501</v>
      </c>
      <c r="E89" s="13" t="s">
        <v>499</v>
      </c>
      <c r="F89" s="13"/>
      <c r="G89" s="13" t="s">
        <v>322</v>
      </c>
      <c r="H89" s="13" t="s">
        <v>116</v>
      </c>
      <c r="I89" s="13" t="s">
        <v>95</v>
      </c>
      <c r="J89" s="13" t="s">
        <v>104</v>
      </c>
      <c r="K89" s="13">
        <v>12</v>
      </c>
      <c r="L89" s="13">
        <v>120575</v>
      </c>
      <c r="M89" s="13" t="str">
        <f t="shared" si="2"/>
        <v>Pradeep ChavanBachelor</v>
      </c>
      <c r="N89" s="13" t="str">
        <f t="shared" si="3"/>
        <v>Pradeep Chavan-Bachelor</v>
      </c>
    </row>
    <row r="90" spans="1:14" x14ac:dyDescent="0.3">
      <c r="A90" s="13" t="s">
        <v>502</v>
      </c>
      <c r="B90" s="13" t="s">
        <v>503</v>
      </c>
      <c r="C90" s="13" t="s">
        <v>504</v>
      </c>
      <c r="D90" s="13" t="s">
        <v>505</v>
      </c>
      <c r="E90" s="13" t="s">
        <v>503</v>
      </c>
      <c r="F90" s="13"/>
      <c r="G90" s="13" t="s">
        <v>154</v>
      </c>
      <c r="H90" s="13" t="s">
        <v>137</v>
      </c>
      <c r="I90" s="13" t="s">
        <v>95</v>
      </c>
      <c r="J90" s="13" t="s">
        <v>96</v>
      </c>
      <c r="K90" s="13">
        <v>20</v>
      </c>
      <c r="L90" s="13">
        <v>93692</v>
      </c>
      <c r="M90" s="13" t="str">
        <f t="shared" si="2"/>
        <v>Amol TambeBachelor</v>
      </c>
      <c r="N90" s="13" t="str">
        <f t="shared" si="3"/>
        <v>Amol Tambe-Bachelor</v>
      </c>
    </row>
    <row r="91" spans="1:14" x14ac:dyDescent="0.3">
      <c r="A91" s="13" t="s">
        <v>506</v>
      </c>
      <c r="B91" s="13" t="s">
        <v>507</v>
      </c>
      <c r="C91" s="13" t="s">
        <v>508</v>
      </c>
      <c r="D91" s="13" t="s">
        <v>509</v>
      </c>
      <c r="E91" s="13" t="s">
        <v>507</v>
      </c>
      <c r="F91" s="13"/>
      <c r="G91" s="13" t="s">
        <v>254</v>
      </c>
      <c r="H91" s="13" t="s">
        <v>116</v>
      </c>
      <c r="I91" s="13" t="s">
        <v>170</v>
      </c>
      <c r="J91" s="13" t="s">
        <v>104</v>
      </c>
      <c r="K91" s="13">
        <v>16</v>
      </c>
      <c r="L91" s="13">
        <v>91522</v>
      </c>
      <c r="M91" s="13" t="str">
        <f t="shared" si="2"/>
        <v>Dinesh TambeMaster</v>
      </c>
      <c r="N91" s="13" t="str">
        <f t="shared" si="3"/>
        <v>Dinesh Tambe-Master</v>
      </c>
    </row>
    <row r="92" spans="1:14" x14ac:dyDescent="0.3">
      <c r="A92" s="13" t="s">
        <v>510</v>
      </c>
      <c r="B92" s="13" t="s">
        <v>511</v>
      </c>
      <c r="C92" s="13" t="s">
        <v>512</v>
      </c>
      <c r="D92" s="13" t="s">
        <v>513</v>
      </c>
      <c r="E92" s="13" t="s">
        <v>511</v>
      </c>
      <c r="F92" s="13"/>
      <c r="G92" s="13" t="s">
        <v>169</v>
      </c>
      <c r="H92" s="13" t="s">
        <v>149</v>
      </c>
      <c r="I92" s="13" t="s">
        <v>95</v>
      </c>
      <c r="J92" s="13" t="s">
        <v>104</v>
      </c>
      <c r="K92" s="13">
        <v>20</v>
      </c>
      <c r="L92" s="13">
        <v>87966</v>
      </c>
      <c r="M92" s="13" t="str">
        <f t="shared" si="2"/>
        <v>Sangeeta JadhavBachelor</v>
      </c>
      <c r="N92" s="13" t="str">
        <f t="shared" si="3"/>
        <v>Sangeeta Jadhav-Bachelor</v>
      </c>
    </row>
    <row r="93" spans="1:14" x14ac:dyDescent="0.3">
      <c r="A93" s="13" t="s">
        <v>514</v>
      </c>
      <c r="B93" s="13" t="s">
        <v>515</v>
      </c>
      <c r="C93" s="13" t="s">
        <v>516</v>
      </c>
      <c r="D93" s="13" t="s">
        <v>517</v>
      </c>
      <c r="E93" s="13" t="s">
        <v>515</v>
      </c>
      <c r="F93" s="13"/>
      <c r="G93" s="13" t="s">
        <v>335</v>
      </c>
      <c r="H93" s="13" t="s">
        <v>110</v>
      </c>
      <c r="I93" s="13" t="s">
        <v>170</v>
      </c>
      <c r="J93" s="13" t="s">
        <v>96</v>
      </c>
      <c r="K93" s="13">
        <v>20</v>
      </c>
      <c r="L93" s="13">
        <v>109396</v>
      </c>
      <c r="M93" s="13" t="str">
        <f t="shared" si="2"/>
        <v>Shubhangi NimbalkarMaster</v>
      </c>
      <c r="N93" s="13" t="str">
        <f t="shared" si="3"/>
        <v>Shubhangi Nimbalkar-Master</v>
      </c>
    </row>
    <row r="94" spans="1:14" x14ac:dyDescent="0.3">
      <c r="A94" s="13" t="s">
        <v>518</v>
      </c>
      <c r="B94" s="13" t="s">
        <v>519</v>
      </c>
      <c r="C94" s="13" t="s">
        <v>520</v>
      </c>
      <c r="D94" s="13" t="s">
        <v>521</v>
      </c>
      <c r="E94" s="13" t="s">
        <v>519</v>
      </c>
      <c r="F94" s="13"/>
      <c r="G94" s="13" t="s">
        <v>142</v>
      </c>
      <c r="H94" s="13" t="s">
        <v>137</v>
      </c>
      <c r="I94" s="13" t="s">
        <v>143</v>
      </c>
      <c r="J94" s="13" t="s">
        <v>104</v>
      </c>
      <c r="K94" s="13">
        <v>6</v>
      </c>
      <c r="L94" s="13">
        <v>64243</v>
      </c>
      <c r="M94" s="13" t="str">
        <f t="shared" si="2"/>
        <v>Namrata GajbhiyeDiploma</v>
      </c>
      <c r="N94" s="13" t="str">
        <f t="shared" si="3"/>
        <v>Namrata Gajbhiye-Diploma</v>
      </c>
    </row>
    <row r="95" spans="1:14" x14ac:dyDescent="0.3">
      <c r="A95" s="13" t="s">
        <v>522</v>
      </c>
      <c r="B95" s="13" t="s">
        <v>523</v>
      </c>
      <c r="C95" s="13" t="s">
        <v>524</v>
      </c>
      <c r="D95" s="13" t="s">
        <v>525</v>
      </c>
      <c r="E95" s="13" t="s">
        <v>523</v>
      </c>
      <c r="F95" s="13"/>
      <c r="G95" s="13" t="s">
        <v>340</v>
      </c>
      <c r="H95" s="13" t="s">
        <v>102</v>
      </c>
      <c r="I95" s="13" t="s">
        <v>170</v>
      </c>
      <c r="J95" s="13" t="s">
        <v>96</v>
      </c>
      <c r="K95" s="13">
        <v>7</v>
      </c>
      <c r="L95" s="13">
        <v>123602</v>
      </c>
      <c r="M95" s="13" t="str">
        <f t="shared" si="2"/>
        <v>Nikita ShindeMaster</v>
      </c>
      <c r="N95" s="13" t="str">
        <f t="shared" si="3"/>
        <v>Nikita Shinde-Master</v>
      </c>
    </row>
    <row r="96" spans="1:14" x14ac:dyDescent="0.3">
      <c r="A96" s="13" t="s">
        <v>526</v>
      </c>
      <c r="B96" s="13" t="s">
        <v>527</v>
      </c>
      <c r="C96" s="13" t="s">
        <v>528</v>
      </c>
      <c r="D96" s="13" t="s">
        <v>529</v>
      </c>
      <c r="E96" s="13" t="s">
        <v>527</v>
      </c>
      <c r="F96" s="13"/>
      <c r="G96" s="13" t="s">
        <v>530</v>
      </c>
      <c r="H96" s="13" t="s">
        <v>102</v>
      </c>
      <c r="I96" s="13" t="s">
        <v>143</v>
      </c>
      <c r="J96" s="13" t="s">
        <v>104</v>
      </c>
      <c r="K96" s="13">
        <v>6</v>
      </c>
      <c r="L96" s="13">
        <v>123056</v>
      </c>
      <c r="M96" s="13" t="str">
        <f t="shared" si="2"/>
        <v>Shruti ShindeDiploma</v>
      </c>
      <c r="N96" s="13" t="str">
        <f t="shared" si="3"/>
        <v>Shruti Shinde-Diploma</v>
      </c>
    </row>
    <row r="97" spans="1:14" x14ac:dyDescent="0.3">
      <c r="A97" s="13" t="s">
        <v>531</v>
      </c>
      <c r="B97" s="13" t="s">
        <v>532</v>
      </c>
      <c r="C97" s="13" t="s">
        <v>533</v>
      </c>
      <c r="D97" s="13" t="s">
        <v>534</v>
      </c>
      <c r="E97" s="13" t="s">
        <v>532</v>
      </c>
      <c r="F97" s="13"/>
      <c r="G97" s="13" t="s">
        <v>121</v>
      </c>
      <c r="H97" s="13" t="s">
        <v>102</v>
      </c>
      <c r="I97" s="13" t="s">
        <v>95</v>
      </c>
      <c r="J97" s="13" t="s">
        <v>96</v>
      </c>
      <c r="K97" s="13">
        <v>6</v>
      </c>
      <c r="L97" s="13">
        <v>92906</v>
      </c>
      <c r="M97" s="13" t="str">
        <f t="shared" si="2"/>
        <v>Gaurav PawarBachelor</v>
      </c>
      <c r="N97" s="13" t="str">
        <f t="shared" si="3"/>
        <v>Gaurav Pawar-Bachelor</v>
      </c>
    </row>
    <row r="98" spans="1:14" x14ac:dyDescent="0.3">
      <c r="A98" s="13" t="s">
        <v>535</v>
      </c>
      <c r="B98" s="13" t="s">
        <v>536</v>
      </c>
      <c r="C98" s="13" t="s">
        <v>537</v>
      </c>
      <c r="D98" s="13" t="s">
        <v>538</v>
      </c>
      <c r="E98" s="13" t="s">
        <v>536</v>
      </c>
      <c r="F98" s="13"/>
      <c r="G98" s="13" t="s">
        <v>142</v>
      </c>
      <c r="H98" s="13" t="s">
        <v>116</v>
      </c>
      <c r="I98" s="13" t="s">
        <v>170</v>
      </c>
      <c r="J98" s="13" t="s">
        <v>104</v>
      </c>
      <c r="K98" s="13">
        <v>8</v>
      </c>
      <c r="L98" s="13">
        <v>64956</v>
      </c>
      <c r="M98" s="13" t="str">
        <f t="shared" si="2"/>
        <v>Tejas ManeMaster</v>
      </c>
      <c r="N98" s="13" t="str">
        <f t="shared" si="3"/>
        <v>Tejas Mane-Master</v>
      </c>
    </row>
    <row r="99" spans="1:14" x14ac:dyDescent="0.3">
      <c r="A99" s="13" t="s">
        <v>539</v>
      </c>
      <c r="B99" s="13" t="s">
        <v>161</v>
      </c>
      <c r="C99" s="13" t="s">
        <v>162</v>
      </c>
      <c r="D99" s="13" t="s">
        <v>163</v>
      </c>
      <c r="E99" s="13" t="s">
        <v>161</v>
      </c>
      <c r="F99" s="13"/>
      <c r="G99" s="13" t="s">
        <v>304</v>
      </c>
      <c r="H99" s="13" t="s">
        <v>94</v>
      </c>
      <c r="I99" s="13" t="s">
        <v>103</v>
      </c>
      <c r="J99" s="13" t="s">
        <v>104</v>
      </c>
      <c r="K99" s="13">
        <v>11</v>
      </c>
      <c r="L99" s="13">
        <v>119764</v>
      </c>
      <c r="M99" s="13" t="str">
        <f t="shared" si="2"/>
        <v>Madhavi KadamPhD</v>
      </c>
      <c r="N99" s="13" t="str">
        <f t="shared" si="3"/>
        <v>Madhavi Kadam-PhD</v>
      </c>
    </row>
    <row r="100" spans="1:14" x14ac:dyDescent="0.3">
      <c r="A100" s="13" t="s">
        <v>540</v>
      </c>
      <c r="B100" s="13" t="s">
        <v>541</v>
      </c>
      <c r="C100" s="13" t="s">
        <v>542</v>
      </c>
      <c r="D100" s="13" t="s">
        <v>543</v>
      </c>
      <c r="E100" s="13" t="s">
        <v>541</v>
      </c>
      <c r="F100" s="13"/>
      <c r="G100" s="13" t="s">
        <v>238</v>
      </c>
      <c r="H100" s="13" t="s">
        <v>116</v>
      </c>
      <c r="I100" s="13" t="s">
        <v>143</v>
      </c>
      <c r="J100" s="13" t="s">
        <v>104</v>
      </c>
      <c r="K100" s="13">
        <v>1</v>
      </c>
      <c r="L100" s="13">
        <v>76522</v>
      </c>
      <c r="M100" s="13" t="str">
        <f t="shared" si="2"/>
        <v>Neha JadhavDiploma</v>
      </c>
      <c r="N100" s="13" t="str">
        <f t="shared" si="3"/>
        <v>Neha Jadhav-Diploma</v>
      </c>
    </row>
    <row r="101" spans="1:14" x14ac:dyDescent="0.3">
      <c r="A101" s="13" t="s">
        <v>544</v>
      </c>
      <c r="B101" s="13" t="s">
        <v>545</v>
      </c>
      <c r="C101" s="13" t="s">
        <v>546</v>
      </c>
      <c r="D101" s="13" t="s">
        <v>547</v>
      </c>
      <c r="E101" s="13" t="s">
        <v>545</v>
      </c>
      <c r="F101" s="13"/>
      <c r="G101" s="13" t="s">
        <v>548</v>
      </c>
      <c r="H101" s="13" t="s">
        <v>102</v>
      </c>
      <c r="I101" s="13" t="s">
        <v>103</v>
      </c>
      <c r="J101" s="13" t="s">
        <v>96</v>
      </c>
      <c r="K101" s="13">
        <v>12</v>
      </c>
      <c r="L101" s="13">
        <v>63238</v>
      </c>
      <c r="M101" s="13" t="str">
        <f t="shared" si="2"/>
        <v>Neha ChavanPhD</v>
      </c>
      <c r="N101" s="13" t="str">
        <f t="shared" si="3"/>
        <v>Neha Chavan-PhD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E176-D58B-4138-A8A8-63FBF77D3DC6}">
  <dimension ref="A1:B7"/>
  <sheetViews>
    <sheetView workbookViewId="0">
      <selection activeCell="A5" sqref="A5"/>
    </sheetView>
  </sheetViews>
  <sheetFormatPr defaultRowHeight="14.4" x14ac:dyDescent="0.3"/>
  <cols>
    <col min="1" max="1" width="19.109375" bestFit="1" customWidth="1"/>
    <col min="2" max="2" width="12.33203125" bestFit="1" customWidth="1"/>
  </cols>
  <sheetData>
    <row r="1" spans="1:2" x14ac:dyDescent="0.3">
      <c r="A1" s="6" t="s">
        <v>3</v>
      </c>
      <c r="B1" s="6" t="s">
        <v>55</v>
      </c>
    </row>
    <row r="2" spans="1:2" x14ac:dyDescent="0.3">
      <c r="A2" s="5" t="s">
        <v>56</v>
      </c>
      <c r="B2" s="5" t="s">
        <v>57</v>
      </c>
    </row>
    <row r="3" spans="1:2" x14ac:dyDescent="0.3">
      <c r="A3" s="5" t="s">
        <v>58</v>
      </c>
      <c r="B3" s="5" t="s">
        <v>59</v>
      </c>
    </row>
    <row r="4" spans="1:2" x14ac:dyDescent="0.3">
      <c r="A4" s="5" t="s">
        <v>60</v>
      </c>
      <c r="B4" s="5" t="s">
        <v>61</v>
      </c>
    </row>
    <row r="5" spans="1:2" x14ac:dyDescent="0.3">
      <c r="A5" s="5" t="s">
        <v>62</v>
      </c>
      <c r="B5" s="5" t="s">
        <v>63</v>
      </c>
    </row>
    <row r="6" spans="1:2" x14ac:dyDescent="0.3">
      <c r="A6" s="5" t="s">
        <v>64</v>
      </c>
      <c r="B6" s="5" t="s">
        <v>65</v>
      </c>
    </row>
    <row r="7" spans="1:2" x14ac:dyDescent="0.3">
      <c r="A7" s="5" t="s">
        <v>66</v>
      </c>
      <c r="B7" s="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empData</vt:lpstr>
      <vt:lpstr>shortcuts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2025-12-20T00:32:32Z</dcterms:created>
  <dcterms:modified xsi:type="dcterms:W3CDTF">2025-12-21T06:24:24Z</dcterms:modified>
</cp:coreProperties>
</file>