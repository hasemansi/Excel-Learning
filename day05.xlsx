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60829E43-DCA4-4F80-859C-CAA654475267}" xr6:coauthVersionLast="47" xr6:coauthVersionMax="47" xr10:uidLastSave="{00000000-0000-0000-0000-000000000000}"/>
  <bookViews>
    <workbookView xWindow="-108" yWindow="-108" windowWidth="23256" windowHeight="12456" activeTab="4" xr2:uid="{410C9A3F-E338-4980-9382-9B761D4946C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</calcChain>
</file>

<file path=xl/sharedStrings.xml><?xml version="1.0" encoding="utf-8"?>
<sst xmlns="http://schemas.openxmlformats.org/spreadsheetml/2006/main" count="2179" uniqueCount="380">
  <si>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</si>
  <si>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</si>
  <si>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</si>
  <si>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</si>
  <si>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</si>
  <si>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</si>
  <si>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</si>
  <si>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</si>
  <si>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</si>
  <si>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</si>
  <si>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</si>
  <si>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</si>
  <si>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</si>
  <si>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</t>
  </si>
  <si>
    <t>E002</t>
  </si>
  <si>
    <t>Shruti Sawant</t>
  </si>
  <si>
    <t>Neelam Sawant</t>
  </si>
  <si>
    <t>Engineering</t>
  </si>
  <si>
    <t>PhD</t>
  </si>
  <si>
    <t>M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</si>
  <si>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</si>
  <si>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</si>
  <si>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</si>
  <si>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</si>
  <si>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</si>
  <si>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</si>
  <si>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</si>
  <si>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</si>
  <si>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</si>
  <si>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</si>
  <si>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</si>
  <si>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</si>
  <si>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</si>
  <si>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</si>
  <si>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</si>
  <si>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</si>
  <si>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</si>
  <si>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</si>
  <si>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</si>
  <si>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</si>
  <si>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</si>
  <si>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</si>
  <si>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</si>
  <si>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</si>
  <si>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</si>
  <si>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</si>
  <si>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</si>
  <si>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</si>
  <si>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</si>
  <si>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</si>
  <si>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</si>
  <si>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</si>
  <si>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</si>
  <si>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</si>
  <si>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</si>
  <si>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</si>
  <si>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</si>
  <si>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</si>
  <si>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</si>
  <si>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</si>
  <si>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</si>
  <si>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</si>
  <si>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</si>
  <si>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</si>
  <si>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</si>
  <si>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</si>
  <si>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</si>
  <si>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</si>
  <si>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</si>
  <si>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</si>
  <si>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</si>
  <si>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</si>
  <si>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</si>
  <si>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</si>
  <si>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</si>
  <si>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</si>
  <si>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</si>
  <si>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</si>
  <si>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</si>
  <si>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</si>
  <si>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</si>
  <si>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</si>
  <si>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</si>
  <si>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</si>
  <si>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</si>
  <si>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</si>
  <si>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</si>
  <si>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</si>
  <si>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Female</t>
  </si>
  <si>
    <t>Male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</si>
  <si>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</si>
  <si>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</si>
  <si>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</si>
  <si>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</si>
  <si>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</si>
  <si>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</si>
  <si>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</si>
  <si>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</si>
  <si>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</si>
  <si>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</si>
  <si>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</si>
  <si>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</si>
  <si>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</si>
  <si>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</si>
  <si>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</si>
  <si>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</si>
  <si>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</si>
  <si>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</si>
  <si>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</si>
  <si>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</si>
  <si>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</si>
  <si>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</si>
  <si>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</si>
  <si>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</si>
  <si>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</si>
  <si>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</si>
  <si>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</si>
  <si>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</si>
  <si>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</si>
  <si>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</si>
  <si>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</si>
  <si>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</si>
  <si>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</si>
  <si>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</si>
  <si>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</si>
  <si>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</si>
  <si>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</si>
  <si>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</si>
  <si>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</si>
  <si>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</si>
  <si>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</si>
  <si>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</si>
  <si>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</si>
  <si>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</si>
  <si>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</si>
  <si>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</si>
  <si>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</si>
  <si>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</si>
  <si>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</si>
  <si>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</si>
  <si>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</si>
  <si>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</si>
  <si>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</si>
  <si>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</si>
  <si>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</si>
  <si>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</si>
  <si>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</si>
  <si>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</si>
  <si>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</si>
  <si>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</si>
  <si>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</si>
  <si>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</si>
  <si>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</si>
  <si>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</si>
  <si>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</si>
  <si>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</si>
  <si>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</si>
  <si>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</si>
  <si>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</si>
  <si>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</si>
  <si>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</si>
  <si>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</si>
  <si>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</si>
  <si>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</si>
  <si>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</si>
  <si>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</si>
  <si>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</si>
  <si>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</si>
  <si>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</si>
  <si>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</si>
  <si>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</si>
  <si>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</si>
  <si>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</si>
  <si>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</si>
  <si>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</si>
  <si>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</si>
  <si>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</si>
  <si>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</si>
  <si>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</si>
  <si>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</si>
  <si>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</si>
  <si>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</si>
  <si>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</si>
  <si>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</si>
  <si>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</si>
  <si>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</si>
  <si>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</si>
  <si>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</si>
  <si>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</si>
  <si>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</si>
  <si>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</si>
  <si>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</si>
  <si>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</si>
  <si>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</si>
  <si>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</si>
  <si>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</si>
  <si>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</si>
  <si>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</si>
  <si>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</si>
  <si>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</si>
  <si>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</si>
  <si>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</si>
  <si>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</si>
  <si>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</si>
  <si>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</si>
  <si>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</si>
  <si>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</si>
  <si>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</si>
  <si>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</si>
  <si>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</si>
  <si>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</si>
  <si>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</si>
  <si>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</si>
  <si>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</si>
  <si>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</si>
  <si>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</si>
  <si>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</si>
  <si>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</si>
  <si>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</si>
  <si>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</si>
  <si>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</si>
  <si>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</si>
  <si>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</si>
  <si>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</si>
  <si>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</si>
  <si>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</si>
  <si>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</si>
  <si>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</si>
  <si>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</si>
  <si>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</si>
  <si>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</si>
  <si>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</si>
  <si>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</si>
  <si>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</si>
  <si>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</si>
  <si>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</si>
  <si>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</si>
  <si>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</si>
  <si>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</si>
  <si>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</si>
  <si>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</si>
  <si>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</si>
  <si>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</si>
  <si>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</si>
  <si>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</si>
  <si>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</si>
  <si>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</si>
  <si>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</si>
  <si>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</si>
  <si>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</si>
  <si>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</si>
  <si>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</si>
  <si>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</si>
  <si>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</si>
  <si>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</si>
  <si>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</si>
  <si>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</si>
  <si>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</si>
  <si>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</si>
  <si>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</si>
  <si>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</si>
  <si>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</si>
  <si>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</si>
  <si>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</si>
  <si>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</si>
  <si>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</si>
  <si>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</si>
  <si>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</si>
  <si>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</si>
  <si>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</si>
  <si>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</si>
  <si>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</si>
  <si>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</si>
  <si>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</si>
  <si>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</si>
  <si>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</si>
  <si>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</si>
  <si>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</si>
  <si>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gender</t>
  </si>
  <si>
    <t>Employee ID|Employee Name|Manager Name|Department|Qualification|Gender|Experience|Salary</t>
  </si>
  <si>
    <t>E001|Pooja Thorat|Vishal Bhosale|Finance|Bachelor|Female|18|103464</t>
  </si>
  <si>
    <t>E002|Shruti Sawant|Neelam Sawant|Engineering|PhD|Male|9|126942</t>
  </si>
  <si>
    <t>E003|Rupal Kulkarni|Aparna Jadhav|HR|PhD|Male|14|129882</t>
  </si>
  <si>
    <t>E004|Shweta Pawar|Siddhi Bhosale|Sales|PhD|Male|2|71092</t>
  </si>
  <si>
    <t>E005|Snehal Jadhav|Siddhi Rathod|Finance|Bachelor|Female|8|104760</t>
  </si>
  <si>
    <t>E006|Nikita Pawar|Siddhi Kulkarni|HR|Bachelor|Female|19|74462</t>
  </si>
  <si>
    <t>E007|Nikhil Rathod|Siddhi Pawar|HR|PhD|Female|10|90573</t>
  </si>
  <si>
    <t>E008|Amol Gore|Ravi Rathod|Operations|Bachelor|Female|19|67690</t>
  </si>
  <si>
    <t>E009|Jayesh Tambe|Sandeep Gore|Finance|Diploma|Male|8|95724</t>
  </si>
  <si>
    <t>E010|Ishwar Mane|Vishal Patil|Marketing|PhD|Female|17|64884</t>
  </si>
  <si>
    <t>E011|Tejas Joshi|Vishal Jadhav|Finance|PhD|Male|15|142125</t>
  </si>
  <si>
    <t>E012|Deepak Jadhav|Ravi Sawant|Operations|PhD|Male|3|132435</t>
  </si>
  <si>
    <t>E013|Madhavi Kadam|Tejas Patil|Sales|PhD|Male|10|111948</t>
  </si>
  <si>
    <t>E014|Aparna Deshmukh|Ravi Kulkarni|Engineering|Master|Female|15|106428</t>
  </si>
  <si>
    <t>E015|Aadesh Nimbalkar|Siddhi Kulkarni|Operations|PhD|Female|20|144998</t>
  </si>
  <si>
    <t>E016|Aadesh Rathod|Ravi Shinde|HR|Diploma|Male|14|108776</t>
  </si>
  <si>
    <t>E017|Gaurav Nimbalkar|Tejas Patil|HR|PhD|Female|6|131725</t>
  </si>
  <si>
    <t>E018|Bhushan Thorat|Ravi Gore|Finance|PhD|Male|14|60084</t>
  </si>
  <si>
    <t>E019|Ishwar Jadhav|Sandeep Jadhav|HR|Bachelor|Male|7|48815</t>
  </si>
  <si>
    <t>E020|Sushma Sawant|Kunal Shinde|Finance|PhD|Male|17|137304</t>
  </si>
  <si>
    <t>E021|Nikhil Deshmukh|Aparna Jadhav|HR|Diploma|Female|4|99797</t>
  </si>
  <si>
    <t>E022|Ashwini Patil|Ravi Deshmukh|Marketing|PhD|Female|12|91106</t>
  </si>
  <si>
    <t>E023|Sachin Thorat|Kunal Jadhav|Finance|PhD|Male|17|129379</t>
  </si>
  <si>
    <t>E024|Nikhil Mane|Aparna Deshmukh|Operations|Diploma|Male|19|54723</t>
  </si>
  <si>
    <t>E025|Ishwar Deshmukh|Tejas Kulkarni|Marketing|Bachelor|Male|19|148721</t>
  </si>
  <si>
    <t>E026|Dinesh Gore|Shubham Kulkarni|HR|Master|Male|15|62799</t>
  </si>
  <si>
    <t>E027|Gaurav Thorat|Aparna Shinde|HR|PhD|Male|20|117832</t>
  </si>
  <si>
    <t>E028|Bhushan Sawant|Aparna Sawant|Operations|Bachelor|Female|20|131791</t>
  </si>
  <si>
    <t>E029|Bhushan Sawant|Rajesh Patil|Engineering|PhD|Female|10|140489</t>
  </si>
  <si>
    <t>E030|Swati Sawant|Siddhi Shinde|Sales|PhD|Male|16|106064</t>
  </si>
  <si>
    <t>E031|Shubham Deshmukh|Rajesh Rathod|Engineering|PhD|Male|12|104444</t>
  </si>
  <si>
    <t>E032|Shweta Pawar|Kunal Jadhav|Operations|Master|Male|15|106961</t>
  </si>
  <si>
    <t>E033|Shraddha Tambe|Rajesh Sawant|Engineering|Master|Female|20|83172</t>
  </si>
  <si>
    <t>E034|Jayesh Bhosale|Sandeep Bhosale|Operations|Master|Female|4|78326</t>
  </si>
  <si>
    <t>E035|Madhavi Bhagat|Tejas Gore|Marketing|Diploma|Male|19|118586</t>
  </si>
  <si>
    <t>E036|Harshada Bhagat|Rajesh Pawar|Marketing|Master|Male|2|123023</t>
  </si>
  <si>
    <t>E037|Rohit Tambe|Neelam Jadhav|Sales|Diploma|Male|12|76671</t>
  </si>
  <si>
    <t>E038|Manisha Sawant|Ravi Pawar|Sales|PhD|Female|19|72081</t>
  </si>
  <si>
    <t>E039|Komal Bhosale|Aparna Gore|Finance|Bachelor|Male|13|136748</t>
  </si>
  <si>
    <t>E040|Deepak Thorat|Ravi Bhosale|Finance|Diploma|Female|16|91583</t>
  </si>
  <si>
    <t>E041|Sanjay Chavan|Rajesh Kulkarni|Finance|Master|Female|7|137305</t>
  </si>
  <si>
    <t>E042|Shruti Patil|Kunal Deshmukh|Sales|Bachelor|Female|11|78341</t>
  </si>
  <si>
    <t>E043|Tejas Thorat|Sandeep Rathod|Marketing|Master|Male|8|79324</t>
  </si>
  <si>
    <t>E044|Harshada Rathod|Sandeep Gore|Sales|Bachelor|Male|11|47852</t>
  </si>
  <si>
    <t>E045|Shraddha Gore|Tejas Deshmukh|Sales|PhD|Male|9|117549</t>
  </si>
  <si>
    <t>E046|Rajiv Kulkarni|Sandeep Deshmukh|Marketing|Master|Female|15|145308</t>
  </si>
  <si>
    <t>E047|Siddhi Pawar|Vishal Rathod|Sales|Diploma|Male|9|67663</t>
  </si>
  <si>
    <t>E048|Sachin Deshmukh|Ravi Gore|Sales|PhD|Female|13|109087</t>
  </si>
  <si>
    <t>E049|Yogesh Gajbhiye|Vishal Bhosale|Marketing|Bachelor|Male|17|73492</t>
  </si>
  <si>
    <t>E050|Manisha Jadhav|Sandeep Shinde|Marketing|Bachelor|Female|11|116781</t>
  </si>
  <si>
    <t>E051|Dinesh Sawant|Tejas Rathod|Marketing|Diploma|Male|2|44104</t>
  </si>
  <si>
    <t>E052|Vandana Jadhav|Kunal Sawant|Sales|PhD|Female|16|54583</t>
  </si>
  <si>
    <t>E053|Ishwar Rathod|Siddhi Shinde|Marketing|Bachelor|Male|16|49609</t>
  </si>
  <si>
    <t>E054|Bhushan Tambe|Siddhi Bhosale|Operations|PhD|Male|20|46520</t>
  </si>
  <si>
    <t>E055|Shweta Nimbalkar|Aparna Rathod|Operations|Master|Female|7|87837</t>
  </si>
  <si>
    <t>E056|Swati Kulkarni|Rajesh Rathod|Sales|Bachelor|Female|17|40012</t>
  </si>
  <si>
    <t>E057|Vishal Chavan|Tejas Kulkarni|Operations|PhD|Female|10|100737</t>
  </si>
  <si>
    <t>E058|Rupal Thorat|Neelam Deshmukh|Sales|Diploma|Male|16|99616</t>
  </si>
  <si>
    <t>E059|Kunal Tambe|Siddhi Pawar|Marketing|Diploma|Male|9|74441</t>
  </si>
  <si>
    <t>E060|Bhushan Kulkarni|Siddhi Deshmukh|Marketing|PhD|Male|4|132909</t>
  </si>
  <si>
    <t>E061|Dinesh Kadam|Neelam Deshmukh|Engineering|Diploma|Male|18|117625</t>
  </si>
  <si>
    <t>E062|Aishwarya Bhosale|Sandeep Deshmukh|Operations|Master|Female|10|106332</t>
  </si>
  <si>
    <t>E063|Aparna Gore|Aparna Bhosale|Finance|PhD|Male|15|131724</t>
  </si>
  <si>
    <t>E064|Vinay Jadhav|Sandeep Sawant|Finance|Diploma|Male|14|115738</t>
  </si>
  <si>
    <t>E065|Harshada Rathod|Neelam Shinde|Finance|Master|Male|15|43693</t>
  </si>
  <si>
    <t>E066|Dinesh Patil|Aparna Pawar|Finance|PhD|Male|6|53221</t>
  </si>
  <si>
    <t>E067|Sanjay Deshmukh|Siddhi Jadhav|HR|Bachelor|Male|5|122120</t>
  </si>
  <si>
    <t>E068|Vikas Patil|Siddhi Bhosale|Marketing|PhD|Male|9|142285</t>
  </si>
  <si>
    <t>E069|Shweta Patil|Neelam Rathod|HR|Diploma|Male|11|125508</t>
  </si>
  <si>
    <t>E070|Madhavi Joshi|Aparna Bhosale|Engineering|PhD|Female|13|124920</t>
  </si>
  <si>
    <t>E071|Nikhil Patil|Rajesh Jadhav|Marketing|Diploma|Female|14|66059</t>
  </si>
  <si>
    <t>E072|Dinesh Bhosale|Sandeep Shinde|Sales|Master|Female|14|74783</t>
  </si>
  <si>
    <t>E073|Shruti Gore|Siddhi Sawant|Operations|PhD|Female|13|75495</t>
  </si>
  <si>
    <t>E074|Vaibhav Nimbalkar|Siddhi Shinde|Finance|Master|Male|16|111782</t>
  </si>
  <si>
    <t>E075|Ravindra Tambe|Ravi Sawant|Sales|Master|Male|20|122916</t>
  </si>
  <si>
    <t>E076|Ashwini Pawar|Siddhi Patil|Finance|Master|Female|10|118193</t>
  </si>
  <si>
    <t>E077|Yogesh Rathod|Sandeep Patil|Operations|Bachelor|Female|14|83808</t>
  </si>
  <si>
    <t>E078|Pooja Nimbalkar|Shubham Patil|Finance|Bachelor|Female|14|104460</t>
  </si>
  <si>
    <t>E079|Aishwarya Nimbalkar|Vishal Patil|Marketing|PhD|Female|6|142447</t>
  </si>
  <si>
    <t>E080|Ishwar Tambe|Kunal Shinde|Operations|PhD|Male|2|57293</t>
  </si>
  <si>
    <t>E081|Harshada Patil|Sandeep Gore|Finance|Diploma|Female|18|40966</t>
  </si>
  <si>
    <t>E082|Yogesh Kulkarni|Siddhi Rathod|Engineering|Diploma|Male|18|136828</t>
  </si>
  <si>
    <t>E083|Pradeep Gajbhiye|Tejas Shinde|HR|PhD|Male|1|103601</t>
  </si>
  <si>
    <t>E084|Swati Tiwari|Shubham Jadhav|Operations|Bachelor|Female|4|52957</t>
  </si>
  <si>
    <t>E085|Pooja Sawant|Tejas Shinde|Finance|PhD|Male|18|102739</t>
  </si>
  <si>
    <t>E086|Sachin Joshi|Siddhi Deshmukh|Operations|PhD|Female|7|73961</t>
  </si>
  <si>
    <t>E087|Komal Deshmukh|Ravi Rathod|Marketing|Bachelor|Female|18|93384</t>
  </si>
  <si>
    <t>E088|Pradeep Chavan|Vishal Rathod|Sales|Bachelor|Male|12|120575</t>
  </si>
  <si>
    <t>E089|Amol Tambe|Vishal Jadhav|Operations|Bachelor|Female|20|93692</t>
  </si>
  <si>
    <t>E090|Dinesh Tambe|Rajesh Sawant|Sales|Master|Male|16|91522</t>
  </si>
  <si>
    <t>E091|Sangeeta Jadhav|Ravi Kulkarni|Marketing|Bachelor|Male|20|87966</t>
  </si>
  <si>
    <t>E092|Shubhangi Nimbalkar|Sandeep Shinde|HR|Master|Female|20|109396</t>
  </si>
  <si>
    <t>E093|Namrata Gajbhiye|Sandeep Gore|Operations|Diploma|Male|6|64243</t>
  </si>
  <si>
    <t>E094|Nikita Shinde|Tejas Rathod|Engineering|Master|Female|7|123602</t>
  </si>
  <si>
    <t>E095|Shruti Shinde|Aparna Kulkarni|Engineering|Diploma|Male|6|123056</t>
  </si>
  <si>
    <t>E096|Gaurav Pawar|Siddhi Rathod|Engineering|Bachelor|Female|6|92906</t>
  </si>
  <si>
    <t>E097|Tejas Mane|Sandeep Gore|Sales|Master|Male|8|64956</t>
  </si>
  <si>
    <t>E098|Madhavi Kadam|Sandeep Rathod|Finance|PhD|Male|11|119764</t>
  </si>
  <si>
    <t>E099|Neha Jadhav|Rajesh Patil|Sales|Diploma|Male|1|76522</t>
  </si>
  <si>
    <t>E100|Neha Chavan|Shubham Rathod|Engineering|PhD|Female|12|63238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</si>
</sst>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3AFF-746C-41F4-B890-749770882367}">
  <dimension ref="A1:L26"/>
  <sheetViews>
    <sheetView workbookViewId="0">
      <selection activeCell="N5" sqref="N5"/>
    </sheetView>
  </sheetViews>
  <sheetFormatPr defaultColWidth="12.88671875" defaultRowHeight="14.4" x14ac:dyDescent="0.3"/>
  <cols>
    <col min="1" max="1" width="11.5546875" bestFit="1" customWidth="1"/>
    <col min="2" max="3" width="15.77734375" bestFit="1" customWidth="1"/>
    <col min="4" max="4" width="11.109375" bestFit="1" customWidth="1"/>
    <col min="5" max="5" width="11.6640625" bestFit="1" customWidth="1"/>
    <col min="6" max="6" width="7.109375" bestFit="1" customWidth="1"/>
    <col min="7" max="7" width="10.109375" bestFit="1" customWidth="1"/>
    <col min="8" max="8" width="7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18</v>
      </c>
      <c r="H2" s="1">
        <v>103464</v>
      </c>
      <c r="I2" s="3">
        <v>1</v>
      </c>
      <c r="J2">
        <f>H2/I2</f>
        <v>103464</v>
      </c>
      <c r="K2">
        <f>IFERROR(H2/I2,"error,try again")</f>
        <v>103464</v>
      </c>
      <c r="L2">
        <f>IFERROR(H2/I2,"0")</f>
        <v>103464</v>
      </c>
    </row>
    <row r="3" spans="1:12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9</v>
      </c>
      <c r="H3" s="1">
        <v>126942</v>
      </c>
      <c r="I3" s="3">
        <v>2</v>
      </c>
      <c r="J3" s="3">
        <f t="shared" ref="J3:J26" si="0">H3/I3</f>
        <v>63471</v>
      </c>
      <c r="K3" s="3">
        <f t="shared" ref="K3:K26" si="1">IFERROR(H3/I3,"error,try again")</f>
        <v>63471</v>
      </c>
      <c r="L3" s="3">
        <f t="shared" ref="L3:L26" si="2">IFERROR(H3/I3,"0")</f>
        <v>63471</v>
      </c>
    </row>
    <row r="4" spans="1:12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>
        <v>14</v>
      </c>
      <c r="H4" s="1">
        <v>129882</v>
      </c>
      <c r="I4" s="3">
        <v>3</v>
      </c>
      <c r="J4" s="3">
        <f t="shared" si="0"/>
        <v>43294</v>
      </c>
      <c r="K4" s="3">
        <f t="shared" si="1"/>
        <v>43294</v>
      </c>
      <c r="L4" s="3">
        <f t="shared" si="2"/>
        <v>43294</v>
      </c>
    </row>
    <row r="5" spans="1:12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19</v>
      </c>
      <c r="G5" s="1">
        <v>2</v>
      </c>
      <c r="H5" s="1">
        <v>71092</v>
      </c>
      <c r="I5" s="3">
        <v>4</v>
      </c>
      <c r="J5" s="3">
        <f t="shared" si="0"/>
        <v>17773</v>
      </c>
      <c r="K5" s="3">
        <f t="shared" si="1"/>
        <v>17773</v>
      </c>
      <c r="L5" s="3">
        <f t="shared" si="2"/>
        <v>17773</v>
      </c>
    </row>
    <row r="6" spans="1:12" x14ac:dyDescent="0.3">
      <c r="A6" s="1" t="s">
        <v>28</v>
      </c>
      <c r="B6" s="1" t="s">
        <v>29</v>
      </c>
      <c r="C6" s="1" t="s">
        <v>30</v>
      </c>
      <c r="D6" s="1" t="s">
        <v>11</v>
      </c>
      <c r="E6" s="1" t="s">
        <v>12</v>
      </c>
      <c r="F6" s="1" t="s">
        <v>13</v>
      </c>
      <c r="G6" s="1">
        <v>8</v>
      </c>
      <c r="H6" s="1">
        <v>104760</v>
      </c>
      <c r="I6" s="3">
        <v>5</v>
      </c>
      <c r="J6" s="3">
        <f t="shared" si="0"/>
        <v>20952</v>
      </c>
      <c r="K6" s="3">
        <f t="shared" si="1"/>
        <v>20952</v>
      </c>
      <c r="L6" s="3">
        <f t="shared" si="2"/>
        <v>20952</v>
      </c>
    </row>
    <row r="7" spans="1:12" x14ac:dyDescent="0.3">
      <c r="A7" s="1" t="s">
        <v>31</v>
      </c>
      <c r="B7" s="1" t="s">
        <v>32</v>
      </c>
      <c r="C7" s="1" t="s">
        <v>33</v>
      </c>
      <c r="D7" s="1" t="s">
        <v>23</v>
      </c>
      <c r="E7" s="1" t="s">
        <v>12</v>
      </c>
      <c r="F7" s="1" t="s">
        <v>13</v>
      </c>
      <c r="G7" s="1">
        <v>19</v>
      </c>
      <c r="H7" s="1">
        <v>74462</v>
      </c>
      <c r="I7" s="3">
        <v>0</v>
      </c>
      <c r="J7" s="3" t="e">
        <f t="shared" si="0"/>
        <v>#DIV/0!</v>
      </c>
      <c r="K7" s="3" t="str">
        <f t="shared" si="1"/>
        <v>error,try again</v>
      </c>
      <c r="L7" s="3" t="str">
        <f t="shared" si="2"/>
        <v>0</v>
      </c>
    </row>
    <row r="8" spans="1:12" x14ac:dyDescent="0.3">
      <c r="A8" s="1" t="s">
        <v>34</v>
      </c>
      <c r="B8" s="1" t="s">
        <v>35</v>
      </c>
      <c r="C8" s="1" t="s">
        <v>36</v>
      </c>
      <c r="D8" s="1" t="s">
        <v>23</v>
      </c>
      <c r="E8" s="1" t="s">
        <v>18</v>
      </c>
      <c r="F8" s="1" t="s">
        <v>13</v>
      </c>
      <c r="G8" s="1">
        <v>10</v>
      </c>
      <c r="H8" s="1">
        <v>90573</v>
      </c>
      <c r="I8" s="3">
        <v>7</v>
      </c>
      <c r="J8" s="3">
        <f t="shared" si="0"/>
        <v>12939</v>
      </c>
      <c r="K8" s="3">
        <f t="shared" si="1"/>
        <v>12939</v>
      </c>
      <c r="L8" s="3">
        <f t="shared" si="2"/>
        <v>12939</v>
      </c>
    </row>
    <row r="9" spans="1:12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12</v>
      </c>
      <c r="F9" s="1" t="s">
        <v>13</v>
      </c>
      <c r="G9" s="1">
        <v>19</v>
      </c>
      <c r="H9" s="1">
        <v>67690</v>
      </c>
      <c r="I9" s="3">
        <v>8</v>
      </c>
      <c r="J9" s="3">
        <f t="shared" si="0"/>
        <v>8461.25</v>
      </c>
      <c r="K9" s="3">
        <f t="shared" si="1"/>
        <v>8461.25</v>
      </c>
      <c r="L9" s="3">
        <f t="shared" si="2"/>
        <v>8461.25</v>
      </c>
    </row>
    <row r="10" spans="1:12" x14ac:dyDescent="0.3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44</v>
      </c>
      <c r="F10" s="1" t="s">
        <v>19</v>
      </c>
      <c r="G10" s="1">
        <v>8</v>
      </c>
      <c r="H10" s="1">
        <v>95724</v>
      </c>
      <c r="I10" s="3">
        <v>9</v>
      </c>
      <c r="J10" s="3">
        <f t="shared" si="0"/>
        <v>10636</v>
      </c>
      <c r="K10" s="3">
        <f t="shared" si="1"/>
        <v>10636</v>
      </c>
      <c r="L10" s="3">
        <f t="shared" si="2"/>
        <v>10636</v>
      </c>
    </row>
    <row r="11" spans="1:12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18</v>
      </c>
      <c r="F11" s="1" t="s">
        <v>13</v>
      </c>
      <c r="G11" s="1">
        <v>17</v>
      </c>
      <c r="H11" s="1">
        <v>64884</v>
      </c>
      <c r="I11" s="3">
        <v>10</v>
      </c>
      <c r="J11" s="3">
        <f t="shared" si="0"/>
        <v>6488.4</v>
      </c>
      <c r="K11" s="3">
        <f t="shared" si="1"/>
        <v>6488.4</v>
      </c>
      <c r="L11" s="3">
        <f t="shared" si="2"/>
        <v>6488.4</v>
      </c>
    </row>
    <row r="12" spans="1:12" x14ac:dyDescent="0.3">
      <c r="A12" s="1" t="s">
        <v>49</v>
      </c>
      <c r="B12" s="1" t="s">
        <v>50</v>
      </c>
      <c r="C12" s="1" t="s">
        <v>51</v>
      </c>
      <c r="D12" s="1" t="s">
        <v>11</v>
      </c>
      <c r="E12" s="1" t="s">
        <v>18</v>
      </c>
      <c r="F12" s="1" t="s">
        <v>19</v>
      </c>
      <c r="G12" s="1">
        <v>15</v>
      </c>
      <c r="H12" s="1">
        <v>142125</v>
      </c>
      <c r="I12" s="3">
        <v>11</v>
      </c>
      <c r="J12" s="3">
        <f t="shared" si="0"/>
        <v>12920.454545454546</v>
      </c>
      <c r="K12" s="3">
        <f t="shared" si="1"/>
        <v>12920.454545454546</v>
      </c>
      <c r="L12" s="3">
        <f t="shared" si="2"/>
        <v>12920.454545454546</v>
      </c>
    </row>
    <row r="13" spans="1:12" x14ac:dyDescent="0.3">
      <c r="A13" s="1" t="s">
        <v>52</v>
      </c>
      <c r="B13" s="1" t="s">
        <v>53</v>
      </c>
      <c r="C13" s="1" t="s">
        <v>54</v>
      </c>
      <c r="D13" s="1" t="s">
        <v>40</v>
      </c>
      <c r="E13" s="1" t="s">
        <v>18</v>
      </c>
      <c r="F13" s="1" t="s">
        <v>19</v>
      </c>
      <c r="G13" s="1">
        <v>3</v>
      </c>
      <c r="H13" s="1">
        <v>132435</v>
      </c>
      <c r="I13" s="3">
        <v>0</v>
      </c>
      <c r="J13" s="3" t="e">
        <f t="shared" si="0"/>
        <v>#DIV/0!</v>
      </c>
      <c r="K13" s="3" t="str">
        <f t="shared" si="1"/>
        <v>error,try again</v>
      </c>
      <c r="L13" s="3" t="str">
        <f t="shared" si="2"/>
        <v>0</v>
      </c>
    </row>
    <row r="14" spans="1:12" x14ac:dyDescent="0.3">
      <c r="A14" s="1" t="s">
        <v>55</v>
      </c>
      <c r="B14" s="1" t="s">
        <v>56</v>
      </c>
      <c r="C14" s="1" t="s">
        <v>57</v>
      </c>
      <c r="D14" s="1" t="s">
        <v>27</v>
      </c>
      <c r="E14" s="1" t="s">
        <v>18</v>
      </c>
      <c r="F14" s="1" t="s">
        <v>19</v>
      </c>
      <c r="G14" s="1">
        <v>10</v>
      </c>
      <c r="H14" s="1">
        <v>111948</v>
      </c>
      <c r="I14" s="3">
        <v>13</v>
      </c>
      <c r="J14" s="3">
        <f t="shared" si="0"/>
        <v>8611.3846153846152</v>
      </c>
      <c r="K14" s="3">
        <f t="shared" si="1"/>
        <v>8611.3846153846152</v>
      </c>
      <c r="L14" s="3">
        <f t="shared" si="2"/>
        <v>8611.3846153846152</v>
      </c>
    </row>
    <row r="15" spans="1:12" x14ac:dyDescent="0.3">
      <c r="A15" s="1" t="s">
        <v>58</v>
      </c>
      <c r="B15" s="1" t="s">
        <v>59</v>
      </c>
      <c r="C15" s="1" t="s">
        <v>60</v>
      </c>
      <c r="D15" s="1" t="s">
        <v>17</v>
      </c>
      <c r="E15" s="1" t="s">
        <v>61</v>
      </c>
      <c r="F15" s="1" t="s">
        <v>13</v>
      </c>
      <c r="G15" s="1">
        <v>15</v>
      </c>
      <c r="H15" s="1">
        <v>106428</v>
      </c>
      <c r="I15" s="3">
        <v>14</v>
      </c>
      <c r="J15" s="3">
        <f t="shared" si="0"/>
        <v>7602</v>
      </c>
      <c r="K15" s="3">
        <f t="shared" si="1"/>
        <v>7602</v>
      </c>
      <c r="L15" s="3">
        <f t="shared" si="2"/>
        <v>7602</v>
      </c>
    </row>
    <row r="16" spans="1:12" x14ac:dyDescent="0.3">
      <c r="A16" s="1" t="s">
        <v>62</v>
      </c>
      <c r="B16" s="1" t="s">
        <v>63</v>
      </c>
      <c r="C16" s="1" t="s">
        <v>33</v>
      </c>
      <c r="D16" s="1" t="s">
        <v>40</v>
      </c>
      <c r="E16" s="1" t="s">
        <v>18</v>
      </c>
      <c r="F16" s="1" t="s">
        <v>13</v>
      </c>
      <c r="G16" s="1">
        <v>20</v>
      </c>
      <c r="H16" s="1">
        <v>144998</v>
      </c>
      <c r="I16" s="3">
        <v>15</v>
      </c>
      <c r="J16" s="3">
        <f t="shared" si="0"/>
        <v>9666.5333333333328</v>
      </c>
      <c r="K16" s="3">
        <f t="shared" si="1"/>
        <v>9666.5333333333328</v>
      </c>
      <c r="L16" s="3">
        <f t="shared" si="2"/>
        <v>9666.5333333333328</v>
      </c>
    </row>
    <row r="17" spans="1:12" x14ac:dyDescent="0.3">
      <c r="A17" s="1" t="s">
        <v>64</v>
      </c>
      <c r="B17" s="1" t="s">
        <v>65</v>
      </c>
      <c r="C17" s="1" t="s">
        <v>66</v>
      </c>
      <c r="D17" s="1" t="s">
        <v>23</v>
      </c>
      <c r="E17" s="1" t="s">
        <v>44</v>
      </c>
      <c r="F17" s="1" t="s">
        <v>19</v>
      </c>
      <c r="G17" s="1">
        <v>14</v>
      </c>
      <c r="H17" s="1">
        <v>108776</v>
      </c>
      <c r="I17" s="3">
        <v>16</v>
      </c>
      <c r="J17" s="3">
        <f t="shared" si="0"/>
        <v>6798.5</v>
      </c>
      <c r="K17" s="3">
        <f t="shared" si="1"/>
        <v>6798.5</v>
      </c>
      <c r="L17" s="3">
        <f t="shared" si="2"/>
        <v>6798.5</v>
      </c>
    </row>
    <row r="18" spans="1:12" x14ac:dyDescent="0.3">
      <c r="A18" s="1" t="s">
        <v>67</v>
      </c>
      <c r="B18" s="1" t="s">
        <v>68</v>
      </c>
      <c r="C18" s="1" t="s">
        <v>57</v>
      </c>
      <c r="D18" s="1" t="s">
        <v>23</v>
      </c>
      <c r="E18" s="1" t="s">
        <v>18</v>
      </c>
      <c r="F18" s="1" t="s">
        <v>13</v>
      </c>
      <c r="G18" s="1">
        <v>6</v>
      </c>
      <c r="H18" s="1">
        <v>131725</v>
      </c>
      <c r="I18" s="3">
        <v>17</v>
      </c>
      <c r="J18" s="3">
        <f t="shared" si="0"/>
        <v>7748.5294117647063</v>
      </c>
      <c r="K18" s="3">
        <f t="shared" si="1"/>
        <v>7748.5294117647063</v>
      </c>
      <c r="L18" s="3">
        <f t="shared" si="2"/>
        <v>7748.5294117647063</v>
      </c>
    </row>
    <row r="19" spans="1:12" x14ac:dyDescent="0.3">
      <c r="A19" s="1" t="s">
        <v>69</v>
      </c>
      <c r="B19" s="1" t="s">
        <v>70</v>
      </c>
      <c r="C19" s="1" t="s">
        <v>71</v>
      </c>
      <c r="D19" s="1" t="s">
        <v>11</v>
      </c>
      <c r="E19" s="1" t="s">
        <v>18</v>
      </c>
      <c r="F19" s="1" t="s">
        <v>19</v>
      </c>
      <c r="G19" s="1">
        <v>14</v>
      </c>
      <c r="H19" s="1">
        <v>60084</v>
      </c>
      <c r="I19" s="3">
        <v>18</v>
      </c>
      <c r="J19" s="3">
        <f t="shared" si="0"/>
        <v>3338</v>
      </c>
      <c r="K19" s="3">
        <f t="shared" si="1"/>
        <v>3338</v>
      </c>
      <c r="L19" s="3">
        <f t="shared" si="2"/>
        <v>3338</v>
      </c>
    </row>
    <row r="20" spans="1:12" x14ac:dyDescent="0.3">
      <c r="A20" s="1" t="s">
        <v>72</v>
      </c>
      <c r="B20" s="1" t="s">
        <v>73</v>
      </c>
      <c r="C20" s="1" t="s">
        <v>74</v>
      </c>
      <c r="D20" s="1" t="s">
        <v>23</v>
      </c>
      <c r="E20" s="1" t="s">
        <v>12</v>
      </c>
      <c r="F20" s="1" t="s">
        <v>19</v>
      </c>
      <c r="G20" s="1">
        <v>7</v>
      </c>
      <c r="H20" s="1">
        <v>48815</v>
      </c>
      <c r="I20" s="3">
        <v>19</v>
      </c>
      <c r="J20" s="3">
        <f t="shared" si="0"/>
        <v>2569.2105263157896</v>
      </c>
      <c r="K20" s="3">
        <f t="shared" si="1"/>
        <v>2569.2105263157896</v>
      </c>
      <c r="L20" s="3">
        <f t="shared" si="2"/>
        <v>2569.2105263157896</v>
      </c>
    </row>
    <row r="21" spans="1:12" x14ac:dyDescent="0.3">
      <c r="A21" s="1" t="s">
        <v>75</v>
      </c>
      <c r="B21" s="1" t="s">
        <v>76</v>
      </c>
      <c r="C21" s="1" t="s">
        <v>77</v>
      </c>
      <c r="D21" s="1" t="s">
        <v>11</v>
      </c>
      <c r="E21" s="1" t="s">
        <v>18</v>
      </c>
      <c r="F21" s="1" t="s">
        <v>19</v>
      </c>
      <c r="G21" s="1">
        <v>17</v>
      </c>
      <c r="H21" s="1">
        <v>137304</v>
      </c>
      <c r="I21" s="3">
        <v>20</v>
      </c>
      <c r="J21" s="3">
        <f t="shared" si="0"/>
        <v>6865.2</v>
      </c>
      <c r="K21" s="3">
        <f t="shared" si="1"/>
        <v>6865.2</v>
      </c>
      <c r="L21" s="3">
        <f t="shared" si="2"/>
        <v>6865.2</v>
      </c>
    </row>
    <row r="22" spans="1:12" x14ac:dyDescent="0.3">
      <c r="A22" s="1" t="s">
        <v>78</v>
      </c>
      <c r="B22" s="1" t="s">
        <v>79</v>
      </c>
      <c r="C22" s="1" t="s">
        <v>22</v>
      </c>
      <c r="D22" s="1" t="s">
        <v>23</v>
      </c>
      <c r="E22" s="1" t="s">
        <v>44</v>
      </c>
      <c r="F22" s="1" t="s">
        <v>13</v>
      </c>
      <c r="G22" s="1">
        <v>4</v>
      </c>
      <c r="H22" s="1">
        <v>99797</v>
      </c>
      <c r="I22" s="3">
        <v>21</v>
      </c>
      <c r="J22" s="3">
        <f t="shared" si="0"/>
        <v>4752.2380952380954</v>
      </c>
      <c r="K22" s="3">
        <f t="shared" si="1"/>
        <v>4752.2380952380954</v>
      </c>
      <c r="L22" s="3">
        <f t="shared" si="2"/>
        <v>4752.2380952380954</v>
      </c>
    </row>
    <row r="23" spans="1:12" x14ac:dyDescent="0.3">
      <c r="A23" s="1" t="s">
        <v>80</v>
      </c>
      <c r="B23" s="1" t="s">
        <v>81</v>
      </c>
      <c r="C23" s="1" t="s">
        <v>82</v>
      </c>
      <c r="D23" s="1" t="s">
        <v>48</v>
      </c>
      <c r="E23" s="1" t="s">
        <v>18</v>
      </c>
      <c r="F23" s="1" t="s">
        <v>13</v>
      </c>
      <c r="G23" s="1">
        <v>12</v>
      </c>
      <c r="H23" s="1">
        <v>91106</v>
      </c>
      <c r="I23" s="3">
        <v>22</v>
      </c>
      <c r="J23" s="3">
        <f t="shared" si="0"/>
        <v>4141.181818181818</v>
      </c>
      <c r="K23" s="3">
        <f t="shared" si="1"/>
        <v>4141.181818181818</v>
      </c>
      <c r="L23" s="3">
        <f t="shared" si="2"/>
        <v>4141.181818181818</v>
      </c>
    </row>
    <row r="24" spans="1:12" x14ac:dyDescent="0.3">
      <c r="A24" s="1" t="s">
        <v>83</v>
      </c>
      <c r="B24" s="1" t="s">
        <v>84</v>
      </c>
      <c r="C24" s="1" t="s">
        <v>85</v>
      </c>
      <c r="D24" s="1" t="s">
        <v>11</v>
      </c>
      <c r="E24" s="1" t="s">
        <v>18</v>
      </c>
      <c r="F24" s="1" t="s">
        <v>19</v>
      </c>
      <c r="G24" s="1">
        <v>17</v>
      </c>
      <c r="H24" s="1">
        <v>129379</v>
      </c>
      <c r="I24" s="3">
        <v>23</v>
      </c>
      <c r="J24" s="3">
        <f t="shared" si="0"/>
        <v>5625.173913043478</v>
      </c>
      <c r="K24" s="3">
        <f t="shared" si="1"/>
        <v>5625.173913043478</v>
      </c>
      <c r="L24" s="3">
        <f t="shared" si="2"/>
        <v>5625.173913043478</v>
      </c>
    </row>
    <row r="25" spans="1:12" x14ac:dyDescent="0.3">
      <c r="A25" s="1" t="s">
        <v>86</v>
      </c>
      <c r="B25" s="1" t="s">
        <v>87</v>
      </c>
      <c r="C25" s="1" t="s">
        <v>59</v>
      </c>
      <c r="D25" s="1" t="s">
        <v>40</v>
      </c>
      <c r="E25" s="1" t="s">
        <v>44</v>
      </c>
      <c r="F25" s="1" t="s">
        <v>19</v>
      </c>
      <c r="G25" s="1">
        <v>19</v>
      </c>
      <c r="H25" s="1">
        <v>54723</v>
      </c>
      <c r="I25" s="3">
        <v>24</v>
      </c>
      <c r="J25" s="3">
        <f t="shared" si="0"/>
        <v>2280.125</v>
      </c>
      <c r="K25" s="3">
        <f t="shared" si="1"/>
        <v>2280.125</v>
      </c>
      <c r="L25" s="3">
        <f t="shared" si="2"/>
        <v>2280.125</v>
      </c>
    </row>
    <row r="26" spans="1:12" x14ac:dyDescent="0.3">
      <c r="I26" s="3"/>
      <c r="J26" s="3" t="e">
        <f t="shared" si="0"/>
        <v>#DIV/0!</v>
      </c>
      <c r="K26" s="3" t="str">
        <f t="shared" si="1"/>
        <v>error,try again</v>
      </c>
      <c r="L26" s="3" t="str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68FA-F63D-46F2-BDB4-BF35011A5676}">
  <dimension ref="A1:J101"/>
  <sheetViews>
    <sheetView workbookViewId="0">
      <selection activeCell="L3" sqref="L3"/>
    </sheetView>
  </sheetViews>
  <sheetFormatPr defaultRowHeight="14.4" x14ac:dyDescent="0.3"/>
  <cols>
    <col min="1" max="1" width="11.21875" bestFit="1" customWidth="1"/>
    <col min="2" max="2" width="18.33203125" bestFit="1" customWidth="1"/>
    <col min="3" max="3" width="16.88671875" bestFit="1" customWidth="1"/>
    <col min="4" max="4" width="10.77734375" bestFit="1" customWidth="1"/>
    <col min="5" max="5" width="11.44140625" bestFit="1" customWidth="1"/>
    <col min="6" max="6" width="6.88671875" bestFit="1" customWidth="1"/>
    <col min="7" max="7" width="9.88671875" bestFit="1" customWidth="1"/>
    <col min="8" max="8" width="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t="s">
        <v>278</v>
      </c>
      <c r="J1" t="s">
        <v>278</v>
      </c>
    </row>
    <row r="2" spans="1:10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88</v>
      </c>
      <c r="G2" s="4">
        <v>18</v>
      </c>
      <c r="H2" s="4">
        <v>103464</v>
      </c>
      <c r="I2" t="s">
        <v>88</v>
      </c>
    </row>
    <row r="3" spans="1:10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89</v>
      </c>
      <c r="G3" s="4">
        <v>9</v>
      </c>
      <c r="H3" s="4">
        <v>126942</v>
      </c>
      <c r="I3" s="4" t="s">
        <v>89</v>
      </c>
    </row>
    <row r="4" spans="1:10" x14ac:dyDescent="0.3">
      <c r="A4" s="4" t="s">
        <v>20</v>
      </c>
      <c r="B4" s="4" t="s">
        <v>21</v>
      </c>
      <c r="C4" s="4" t="s">
        <v>22</v>
      </c>
      <c r="D4" s="4" t="s">
        <v>23</v>
      </c>
      <c r="E4" s="4" t="s">
        <v>18</v>
      </c>
      <c r="F4" s="4" t="s">
        <v>89</v>
      </c>
      <c r="G4" s="4">
        <v>14</v>
      </c>
      <c r="H4" s="4">
        <v>129882</v>
      </c>
      <c r="I4" s="4" t="s">
        <v>89</v>
      </c>
    </row>
    <row r="5" spans="1:10" x14ac:dyDescent="0.3">
      <c r="A5" s="4" t="s">
        <v>24</v>
      </c>
      <c r="B5" s="4" t="s">
        <v>25</v>
      </c>
      <c r="C5" s="4" t="s">
        <v>26</v>
      </c>
      <c r="D5" s="4" t="s">
        <v>27</v>
      </c>
      <c r="E5" s="4" t="s">
        <v>18</v>
      </c>
      <c r="F5" s="4" t="s">
        <v>89</v>
      </c>
      <c r="G5" s="4">
        <v>2</v>
      </c>
      <c r="H5" s="4">
        <v>71092</v>
      </c>
      <c r="I5" s="4" t="s">
        <v>89</v>
      </c>
    </row>
    <row r="6" spans="1:10" x14ac:dyDescent="0.3">
      <c r="A6" s="4" t="s">
        <v>28</v>
      </c>
      <c r="B6" s="4" t="s">
        <v>29</v>
      </c>
      <c r="C6" s="4" t="s">
        <v>30</v>
      </c>
      <c r="D6" s="4" t="s">
        <v>11</v>
      </c>
      <c r="E6" s="4" t="s">
        <v>12</v>
      </c>
      <c r="F6" s="4" t="s">
        <v>88</v>
      </c>
      <c r="G6" s="4">
        <v>8</v>
      </c>
      <c r="H6" s="4">
        <v>104760</v>
      </c>
      <c r="I6" s="4" t="s">
        <v>88</v>
      </c>
    </row>
    <row r="7" spans="1:10" x14ac:dyDescent="0.3">
      <c r="A7" s="4" t="s">
        <v>31</v>
      </c>
      <c r="B7" s="4" t="s">
        <v>32</v>
      </c>
      <c r="C7" s="4" t="s">
        <v>33</v>
      </c>
      <c r="D7" s="4" t="s">
        <v>23</v>
      </c>
      <c r="E7" s="4" t="s">
        <v>12</v>
      </c>
      <c r="F7" s="4" t="s">
        <v>88</v>
      </c>
      <c r="G7" s="4">
        <v>19</v>
      </c>
      <c r="H7" s="4">
        <v>74462</v>
      </c>
      <c r="I7" s="4" t="s">
        <v>88</v>
      </c>
    </row>
    <row r="8" spans="1:10" x14ac:dyDescent="0.3">
      <c r="A8" s="4" t="s">
        <v>34</v>
      </c>
      <c r="B8" s="4" t="s">
        <v>35</v>
      </c>
      <c r="C8" s="4" t="s">
        <v>36</v>
      </c>
      <c r="D8" s="4" t="s">
        <v>23</v>
      </c>
      <c r="E8" s="4" t="s">
        <v>18</v>
      </c>
      <c r="F8" s="4" t="s">
        <v>88</v>
      </c>
      <c r="G8" s="4">
        <v>10</v>
      </c>
      <c r="H8" s="4">
        <v>90573</v>
      </c>
      <c r="I8" s="4" t="s">
        <v>88</v>
      </c>
    </row>
    <row r="9" spans="1:10" x14ac:dyDescent="0.3">
      <c r="A9" s="4" t="s">
        <v>37</v>
      </c>
      <c r="B9" s="4" t="s">
        <v>38</v>
      </c>
      <c r="C9" s="4" t="s">
        <v>39</v>
      </c>
      <c r="D9" s="4" t="s">
        <v>40</v>
      </c>
      <c r="E9" s="4" t="s">
        <v>12</v>
      </c>
      <c r="F9" s="4" t="s">
        <v>88</v>
      </c>
      <c r="G9" s="4">
        <v>19</v>
      </c>
      <c r="H9" s="4">
        <v>67690</v>
      </c>
      <c r="I9" s="4" t="s">
        <v>88</v>
      </c>
    </row>
    <row r="10" spans="1:10" x14ac:dyDescent="0.3">
      <c r="A10" s="4" t="s">
        <v>41</v>
      </c>
      <c r="B10" s="4" t="s">
        <v>42</v>
      </c>
      <c r="C10" s="4" t="s">
        <v>43</v>
      </c>
      <c r="D10" s="4" t="s">
        <v>11</v>
      </c>
      <c r="E10" s="4" t="s">
        <v>44</v>
      </c>
      <c r="F10" s="4" t="s">
        <v>89</v>
      </c>
      <c r="G10" s="4">
        <v>8</v>
      </c>
      <c r="H10" s="4">
        <v>95724</v>
      </c>
      <c r="I10" s="4" t="s">
        <v>89</v>
      </c>
    </row>
    <row r="11" spans="1:10" x14ac:dyDescent="0.3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18</v>
      </c>
      <c r="F11" s="4" t="s">
        <v>88</v>
      </c>
      <c r="G11" s="4">
        <v>17</v>
      </c>
      <c r="H11" s="4">
        <v>64884</v>
      </c>
      <c r="I11" s="4" t="s">
        <v>88</v>
      </c>
    </row>
    <row r="12" spans="1:10" x14ac:dyDescent="0.3">
      <c r="A12" s="4" t="s">
        <v>49</v>
      </c>
      <c r="B12" s="4" t="s">
        <v>50</v>
      </c>
      <c r="C12" s="4" t="s">
        <v>51</v>
      </c>
      <c r="D12" s="4" t="s">
        <v>11</v>
      </c>
      <c r="E12" s="4" t="s">
        <v>18</v>
      </c>
      <c r="F12" s="4" t="s">
        <v>89</v>
      </c>
      <c r="G12" s="4">
        <v>15</v>
      </c>
      <c r="H12" s="4">
        <v>142125</v>
      </c>
      <c r="I12" s="4" t="s">
        <v>89</v>
      </c>
    </row>
    <row r="13" spans="1:10" x14ac:dyDescent="0.3">
      <c r="A13" s="4" t="s">
        <v>52</v>
      </c>
      <c r="B13" s="4" t="s">
        <v>53</v>
      </c>
      <c r="C13" s="4" t="s">
        <v>54</v>
      </c>
      <c r="D13" s="4" t="s">
        <v>40</v>
      </c>
      <c r="E13" s="4" t="s">
        <v>18</v>
      </c>
      <c r="F13" s="4" t="s">
        <v>89</v>
      </c>
      <c r="G13" s="4">
        <v>3</v>
      </c>
      <c r="H13" s="4">
        <v>132435</v>
      </c>
      <c r="I13" s="4" t="s">
        <v>89</v>
      </c>
    </row>
    <row r="14" spans="1:10" x14ac:dyDescent="0.3">
      <c r="A14" s="4" t="s">
        <v>55</v>
      </c>
      <c r="B14" s="4" t="s">
        <v>56</v>
      </c>
      <c r="C14" s="4" t="s">
        <v>57</v>
      </c>
      <c r="D14" s="4" t="s">
        <v>27</v>
      </c>
      <c r="E14" s="4" t="s">
        <v>18</v>
      </c>
      <c r="F14" s="4" t="s">
        <v>89</v>
      </c>
      <c r="G14" s="4">
        <v>10</v>
      </c>
      <c r="H14" s="4">
        <v>111948</v>
      </c>
      <c r="I14" s="4" t="s">
        <v>89</v>
      </c>
    </row>
    <row r="15" spans="1:10" x14ac:dyDescent="0.3">
      <c r="A15" s="4" t="s">
        <v>58</v>
      </c>
      <c r="B15" s="4" t="s">
        <v>59</v>
      </c>
      <c r="C15" s="4" t="s">
        <v>60</v>
      </c>
      <c r="D15" s="4" t="s">
        <v>17</v>
      </c>
      <c r="E15" s="4" t="s">
        <v>61</v>
      </c>
      <c r="F15" s="4" t="s">
        <v>88</v>
      </c>
      <c r="G15" s="4">
        <v>15</v>
      </c>
      <c r="H15" s="4">
        <v>106428</v>
      </c>
      <c r="I15" s="4" t="s">
        <v>88</v>
      </c>
    </row>
    <row r="16" spans="1:10" x14ac:dyDescent="0.3">
      <c r="A16" s="4" t="s">
        <v>62</v>
      </c>
      <c r="B16" s="4" t="s">
        <v>63</v>
      </c>
      <c r="C16" s="4" t="s">
        <v>33</v>
      </c>
      <c r="D16" s="4" t="s">
        <v>40</v>
      </c>
      <c r="E16" s="4" t="s">
        <v>18</v>
      </c>
      <c r="F16" s="4" t="s">
        <v>88</v>
      </c>
      <c r="G16" s="4">
        <v>20</v>
      </c>
      <c r="H16" s="4">
        <v>144998</v>
      </c>
      <c r="I16" s="4" t="s">
        <v>88</v>
      </c>
    </row>
    <row r="17" spans="1:9" x14ac:dyDescent="0.3">
      <c r="A17" s="4" t="s">
        <v>64</v>
      </c>
      <c r="B17" s="4" t="s">
        <v>65</v>
      </c>
      <c r="C17" s="4" t="s">
        <v>66</v>
      </c>
      <c r="D17" s="4" t="s">
        <v>23</v>
      </c>
      <c r="E17" s="4" t="s">
        <v>44</v>
      </c>
      <c r="F17" s="4" t="s">
        <v>89</v>
      </c>
      <c r="G17" s="4">
        <v>14</v>
      </c>
      <c r="H17" s="4">
        <v>108776</v>
      </c>
      <c r="I17" s="4" t="s">
        <v>89</v>
      </c>
    </row>
    <row r="18" spans="1:9" x14ac:dyDescent="0.3">
      <c r="A18" s="4" t="s">
        <v>67</v>
      </c>
      <c r="B18" s="4" t="s">
        <v>68</v>
      </c>
      <c r="C18" s="4" t="s">
        <v>57</v>
      </c>
      <c r="D18" s="4" t="s">
        <v>23</v>
      </c>
      <c r="E18" s="4" t="s">
        <v>18</v>
      </c>
      <c r="F18" s="4" t="s">
        <v>88</v>
      </c>
      <c r="G18" s="4">
        <v>6</v>
      </c>
      <c r="H18" s="4">
        <v>131725</v>
      </c>
      <c r="I18" s="4" t="s">
        <v>88</v>
      </c>
    </row>
    <row r="19" spans="1:9" x14ac:dyDescent="0.3">
      <c r="A19" s="4" t="s">
        <v>69</v>
      </c>
      <c r="B19" s="4" t="s">
        <v>70</v>
      </c>
      <c r="C19" s="4" t="s">
        <v>71</v>
      </c>
      <c r="D19" s="4" t="s">
        <v>11</v>
      </c>
      <c r="E19" s="4" t="s">
        <v>18</v>
      </c>
      <c r="F19" s="4" t="s">
        <v>89</v>
      </c>
      <c r="G19" s="4">
        <v>14</v>
      </c>
      <c r="H19" s="4">
        <v>60084</v>
      </c>
      <c r="I19" s="4" t="s">
        <v>89</v>
      </c>
    </row>
    <row r="20" spans="1:9" x14ac:dyDescent="0.3">
      <c r="A20" s="4" t="s">
        <v>72</v>
      </c>
      <c r="B20" s="4" t="s">
        <v>73</v>
      </c>
      <c r="C20" s="4" t="s">
        <v>74</v>
      </c>
      <c r="D20" s="4" t="s">
        <v>23</v>
      </c>
      <c r="E20" s="4" t="s">
        <v>12</v>
      </c>
      <c r="F20" s="4" t="s">
        <v>89</v>
      </c>
      <c r="G20" s="4">
        <v>7</v>
      </c>
      <c r="H20" s="4">
        <v>48815</v>
      </c>
      <c r="I20" s="4" t="s">
        <v>89</v>
      </c>
    </row>
    <row r="21" spans="1:9" x14ac:dyDescent="0.3">
      <c r="A21" s="4" t="s">
        <v>75</v>
      </c>
      <c r="B21" s="4" t="s">
        <v>76</v>
      </c>
      <c r="C21" s="4" t="s">
        <v>77</v>
      </c>
      <c r="D21" s="4" t="s">
        <v>11</v>
      </c>
      <c r="E21" s="4" t="s">
        <v>18</v>
      </c>
      <c r="F21" s="4" t="s">
        <v>89</v>
      </c>
      <c r="G21" s="4">
        <v>17</v>
      </c>
      <c r="H21" s="4">
        <v>137304</v>
      </c>
      <c r="I21" s="4" t="s">
        <v>89</v>
      </c>
    </row>
    <row r="22" spans="1:9" x14ac:dyDescent="0.3">
      <c r="A22" s="4" t="s">
        <v>78</v>
      </c>
      <c r="B22" s="4" t="s">
        <v>79</v>
      </c>
      <c r="C22" s="4" t="s">
        <v>22</v>
      </c>
      <c r="D22" s="4" t="s">
        <v>23</v>
      </c>
      <c r="E22" s="4" t="s">
        <v>44</v>
      </c>
      <c r="F22" s="4" t="s">
        <v>88</v>
      </c>
      <c r="G22" s="4">
        <v>4</v>
      </c>
      <c r="H22" s="4">
        <v>99797</v>
      </c>
      <c r="I22" s="4" t="s">
        <v>88</v>
      </c>
    </row>
    <row r="23" spans="1:9" x14ac:dyDescent="0.3">
      <c r="A23" s="4" t="s">
        <v>80</v>
      </c>
      <c r="B23" s="4" t="s">
        <v>81</v>
      </c>
      <c r="C23" s="4" t="s">
        <v>82</v>
      </c>
      <c r="D23" s="4" t="s">
        <v>48</v>
      </c>
      <c r="E23" s="4" t="s">
        <v>18</v>
      </c>
      <c r="F23" s="4" t="s">
        <v>88</v>
      </c>
      <c r="G23" s="4">
        <v>12</v>
      </c>
      <c r="H23" s="4">
        <v>91106</v>
      </c>
      <c r="I23" s="4" t="s">
        <v>88</v>
      </c>
    </row>
    <row r="24" spans="1:9" x14ac:dyDescent="0.3">
      <c r="A24" s="4" t="s">
        <v>83</v>
      </c>
      <c r="B24" s="4" t="s">
        <v>84</v>
      </c>
      <c r="C24" s="4" t="s">
        <v>85</v>
      </c>
      <c r="D24" s="4" t="s">
        <v>11</v>
      </c>
      <c r="E24" s="4" t="s">
        <v>18</v>
      </c>
      <c r="F24" s="4" t="s">
        <v>89</v>
      </c>
      <c r="G24" s="4">
        <v>17</v>
      </c>
      <c r="H24" s="4">
        <v>129379</v>
      </c>
      <c r="I24" s="4" t="s">
        <v>89</v>
      </c>
    </row>
    <row r="25" spans="1:9" x14ac:dyDescent="0.3">
      <c r="A25" s="4" t="s">
        <v>86</v>
      </c>
      <c r="B25" s="4" t="s">
        <v>87</v>
      </c>
      <c r="C25" s="4" t="s">
        <v>59</v>
      </c>
      <c r="D25" s="4" t="s">
        <v>40</v>
      </c>
      <c r="E25" s="4" t="s">
        <v>44</v>
      </c>
      <c r="F25" s="4" t="s">
        <v>89</v>
      </c>
      <c r="G25" s="4">
        <v>19</v>
      </c>
      <c r="H25" s="4">
        <v>54723</v>
      </c>
      <c r="I25" s="4" t="s">
        <v>89</v>
      </c>
    </row>
    <row r="26" spans="1:9" x14ac:dyDescent="0.3">
      <c r="A26" s="4" t="s">
        <v>90</v>
      </c>
      <c r="B26" s="4" t="s">
        <v>91</v>
      </c>
      <c r="C26" s="4" t="s">
        <v>92</v>
      </c>
      <c r="D26" s="4" t="s">
        <v>48</v>
      </c>
      <c r="E26" s="4" t="s">
        <v>12</v>
      </c>
      <c r="F26" s="4" t="s">
        <v>89</v>
      </c>
      <c r="G26" s="4">
        <v>19</v>
      </c>
      <c r="H26" s="4">
        <v>148721</v>
      </c>
      <c r="I26" s="4" t="s">
        <v>89</v>
      </c>
    </row>
    <row r="27" spans="1:9" x14ac:dyDescent="0.3">
      <c r="A27" s="4" t="s">
        <v>93</v>
      </c>
      <c r="B27" s="4" t="s">
        <v>94</v>
      </c>
      <c r="C27" s="4" t="s">
        <v>95</v>
      </c>
      <c r="D27" s="4" t="s">
        <v>23</v>
      </c>
      <c r="E27" s="4" t="s">
        <v>61</v>
      </c>
      <c r="F27" s="4" t="s">
        <v>89</v>
      </c>
      <c r="G27" s="4">
        <v>15</v>
      </c>
      <c r="H27" s="4">
        <v>62799</v>
      </c>
      <c r="I27" s="4" t="s">
        <v>89</v>
      </c>
    </row>
    <row r="28" spans="1:9" x14ac:dyDescent="0.3">
      <c r="A28" s="4" t="s">
        <v>96</v>
      </c>
      <c r="B28" s="4" t="s">
        <v>97</v>
      </c>
      <c r="C28" s="4" t="s">
        <v>98</v>
      </c>
      <c r="D28" s="4" t="s">
        <v>23</v>
      </c>
      <c r="E28" s="4" t="s">
        <v>18</v>
      </c>
      <c r="F28" s="4" t="s">
        <v>89</v>
      </c>
      <c r="G28" s="4">
        <v>20</v>
      </c>
      <c r="H28" s="4">
        <v>117832</v>
      </c>
      <c r="I28" s="4" t="s">
        <v>89</v>
      </c>
    </row>
    <row r="29" spans="1:9" x14ac:dyDescent="0.3">
      <c r="A29" s="4" t="s">
        <v>99</v>
      </c>
      <c r="B29" s="4" t="s">
        <v>100</v>
      </c>
      <c r="C29" s="4" t="s">
        <v>101</v>
      </c>
      <c r="D29" s="4" t="s">
        <v>40</v>
      </c>
      <c r="E29" s="4" t="s">
        <v>12</v>
      </c>
      <c r="F29" s="4" t="s">
        <v>88</v>
      </c>
      <c r="G29" s="4">
        <v>20</v>
      </c>
      <c r="H29" s="4">
        <v>131791</v>
      </c>
      <c r="I29" s="4" t="s">
        <v>88</v>
      </c>
    </row>
    <row r="30" spans="1:9" x14ac:dyDescent="0.3">
      <c r="A30" s="4" t="s">
        <v>102</v>
      </c>
      <c r="B30" s="4" t="s">
        <v>100</v>
      </c>
      <c r="C30" s="4" t="s">
        <v>103</v>
      </c>
      <c r="D30" s="4" t="s">
        <v>17</v>
      </c>
      <c r="E30" s="4" t="s">
        <v>18</v>
      </c>
      <c r="F30" s="4" t="s">
        <v>88</v>
      </c>
      <c r="G30" s="4">
        <v>10</v>
      </c>
      <c r="H30" s="4">
        <v>140489</v>
      </c>
      <c r="I30" s="4" t="s">
        <v>88</v>
      </c>
    </row>
    <row r="31" spans="1:9" x14ac:dyDescent="0.3">
      <c r="A31" s="4" t="s">
        <v>104</v>
      </c>
      <c r="B31" s="4" t="s">
        <v>105</v>
      </c>
      <c r="C31" s="4" t="s">
        <v>106</v>
      </c>
      <c r="D31" s="4" t="s">
        <v>27</v>
      </c>
      <c r="E31" s="4" t="s">
        <v>18</v>
      </c>
      <c r="F31" s="4" t="s">
        <v>89</v>
      </c>
      <c r="G31" s="4">
        <v>16</v>
      </c>
      <c r="H31" s="4">
        <v>106064</v>
      </c>
      <c r="I31" s="4" t="s">
        <v>89</v>
      </c>
    </row>
    <row r="32" spans="1:9" x14ac:dyDescent="0.3">
      <c r="A32" s="4" t="s">
        <v>107</v>
      </c>
      <c r="B32" s="4" t="s">
        <v>108</v>
      </c>
      <c r="C32" s="4" t="s">
        <v>109</v>
      </c>
      <c r="D32" s="4" t="s">
        <v>17</v>
      </c>
      <c r="E32" s="4" t="s">
        <v>18</v>
      </c>
      <c r="F32" s="4" t="s">
        <v>89</v>
      </c>
      <c r="G32" s="4">
        <v>12</v>
      </c>
      <c r="H32" s="4">
        <v>104444</v>
      </c>
      <c r="I32" s="4" t="s">
        <v>89</v>
      </c>
    </row>
    <row r="33" spans="1:9" x14ac:dyDescent="0.3">
      <c r="A33" s="4" t="s">
        <v>110</v>
      </c>
      <c r="B33" s="4" t="s">
        <v>25</v>
      </c>
      <c r="C33" s="4" t="s">
        <v>85</v>
      </c>
      <c r="D33" s="4" t="s">
        <v>40</v>
      </c>
      <c r="E33" s="4" t="s">
        <v>61</v>
      </c>
      <c r="F33" s="4" t="s">
        <v>89</v>
      </c>
      <c r="G33" s="4">
        <v>15</v>
      </c>
      <c r="H33" s="4">
        <v>106961</v>
      </c>
      <c r="I33" s="4" t="s">
        <v>89</v>
      </c>
    </row>
    <row r="34" spans="1:9" x14ac:dyDescent="0.3">
      <c r="A34" s="4" t="s">
        <v>111</v>
      </c>
      <c r="B34" s="4" t="s">
        <v>112</v>
      </c>
      <c r="C34" s="4" t="s">
        <v>113</v>
      </c>
      <c r="D34" s="4" t="s">
        <v>17</v>
      </c>
      <c r="E34" s="4" t="s">
        <v>61</v>
      </c>
      <c r="F34" s="4" t="s">
        <v>88</v>
      </c>
      <c r="G34" s="4">
        <v>20</v>
      </c>
      <c r="H34" s="4">
        <v>83172</v>
      </c>
      <c r="I34" s="4" t="s">
        <v>88</v>
      </c>
    </row>
    <row r="35" spans="1:9" x14ac:dyDescent="0.3">
      <c r="A35" s="4" t="s">
        <v>114</v>
      </c>
      <c r="B35" s="4" t="s">
        <v>115</v>
      </c>
      <c r="C35" s="4" t="s">
        <v>116</v>
      </c>
      <c r="D35" s="4" t="s">
        <v>40</v>
      </c>
      <c r="E35" s="4" t="s">
        <v>61</v>
      </c>
      <c r="F35" s="4" t="s">
        <v>88</v>
      </c>
      <c r="G35" s="4">
        <v>4</v>
      </c>
      <c r="H35" s="4">
        <v>78326</v>
      </c>
      <c r="I35" s="4" t="s">
        <v>88</v>
      </c>
    </row>
    <row r="36" spans="1:9" x14ac:dyDescent="0.3">
      <c r="A36" s="4" t="s">
        <v>117</v>
      </c>
      <c r="B36" s="4" t="s">
        <v>118</v>
      </c>
      <c r="C36" s="4" t="s">
        <v>119</v>
      </c>
      <c r="D36" s="4" t="s">
        <v>48</v>
      </c>
      <c r="E36" s="4" t="s">
        <v>44</v>
      </c>
      <c r="F36" s="4" t="s">
        <v>89</v>
      </c>
      <c r="G36" s="4">
        <v>19</v>
      </c>
      <c r="H36" s="4">
        <v>118586</v>
      </c>
      <c r="I36" s="4" t="s">
        <v>89</v>
      </c>
    </row>
    <row r="37" spans="1:9" x14ac:dyDescent="0.3">
      <c r="A37" s="4" t="s">
        <v>120</v>
      </c>
      <c r="B37" s="4" t="s">
        <v>121</v>
      </c>
      <c r="C37" s="4" t="s">
        <v>122</v>
      </c>
      <c r="D37" s="4" t="s">
        <v>48</v>
      </c>
      <c r="E37" s="4" t="s">
        <v>61</v>
      </c>
      <c r="F37" s="4" t="s">
        <v>89</v>
      </c>
      <c r="G37" s="4">
        <v>2</v>
      </c>
      <c r="H37" s="4">
        <v>123023</v>
      </c>
      <c r="I37" s="4" t="s">
        <v>89</v>
      </c>
    </row>
    <row r="38" spans="1:9" x14ac:dyDescent="0.3">
      <c r="A38" s="4" t="s">
        <v>123</v>
      </c>
      <c r="B38" s="4" t="s">
        <v>124</v>
      </c>
      <c r="C38" s="4" t="s">
        <v>125</v>
      </c>
      <c r="D38" s="4" t="s">
        <v>27</v>
      </c>
      <c r="E38" s="4" t="s">
        <v>44</v>
      </c>
      <c r="F38" s="4" t="s">
        <v>89</v>
      </c>
      <c r="G38" s="4">
        <v>12</v>
      </c>
      <c r="H38" s="4">
        <v>76671</v>
      </c>
      <c r="I38" s="4" t="s">
        <v>89</v>
      </c>
    </row>
    <row r="39" spans="1:9" x14ac:dyDescent="0.3">
      <c r="A39" s="4" t="s">
        <v>126</v>
      </c>
      <c r="B39" s="4" t="s">
        <v>127</v>
      </c>
      <c r="C39" s="4" t="s">
        <v>128</v>
      </c>
      <c r="D39" s="4" t="s">
        <v>27</v>
      </c>
      <c r="E39" s="4" t="s">
        <v>18</v>
      </c>
      <c r="F39" s="4" t="s">
        <v>88</v>
      </c>
      <c r="G39" s="4">
        <v>19</v>
      </c>
      <c r="H39" s="4">
        <v>72081</v>
      </c>
      <c r="I39" s="4" t="s">
        <v>88</v>
      </c>
    </row>
    <row r="40" spans="1:9" x14ac:dyDescent="0.3">
      <c r="A40" s="4" t="s">
        <v>129</v>
      </c>
      <c r="B40" s="4" t="s">
        <v>130</v>
      </c>
      <c r="C40" s="4" t="s">
        <v>131</v>
      </c>
      <c r="D40" s="4" t="s">
        <v>11</v>
      </c>
      <c r="E40" s="4" t="s">
        <v>12</v>
      </c>
      <c r="F40" s="4" t="s">
        <v>89</v>
      </c>
      <c r="G40" s="4">
        <v>13</v>
      </c>
      <c r="H40" s="4">
        <v>136748</v>
      </c>
      <c r="I40" s="4" t="s">
        <v>89</v>
      </c>
    </row>
    <row r="41" spans="1:9" x14ac:dyDescent="0.3">
      <c r="A41" s="4" t="s">
        <v>132</v>
      </c>
      <c r="B41" s="4" t="s">
        <v>133</v>
      </c>
      <c r="C41" s="4" t="s">
        <v>134</v>
      </c>
      <c r="D41" s="4" t="s">
        <v>11</v>
      </c>
      <c r="E41" s="4" t="s">
        <v>44</v>
      </c>
      <c r="F41" s="4" t="s">
        <v>88</v>
      </c>
      <c r="G41" s="4">
        <v>16</v>
      </c>
      <c r="H41" s="4">
        <v>91583</v>
      </c>
      <c r="I41" s="4" t="s">
        <v>88</v>
      </c>
    </row>
    <row r="42" spans="1:9" x14ac:dyDescent="0.3">
      <c r="A42" s="4" t="s">
        <v>135</v>
      </c>
      <c r="B42" s="4" t="s">
        <v>136</v>
      </c>
      <c r="C42" s="4" t="s">
        <v>137</v>
      </c>
      <c r="D42" s="4" t="s">
        <v>11</v>
      </c>
      <c r="E42" s="4" t="s">
        <v>61</v>
      </c>
      <c r="F42" s="4" t="s">
        <v>88</v>
      </c>
      <c r="G42" s="4">
        <v>7</v>
      </c>
      <c r="H42" s="4">
        <v>137305</v>
      </c>
      <c r="I42" s="4" t="s">
        <v>88</v>
      </c>
    </row>
    <row r="43" spans="1:9" x14ac:dyDescent="0.3">
      <c r="A43" s="4" t="s">
        <v>138</v>
      </c>
      <c r="B43" s="4" t="s">
        <v>139</v>
      </c>
      <c r="C43" s="4" t="s">
        <v>140</v>
      </c>
      <c r="D43" s="4" t="s">
        <v>27</v>
      </c>
      <c r="E43" s="4" t="s">
        <v>12</v>
      </c>
      <c r="F43" s="4" t="s">
        <v>88</v>
      </c>
      <c r="G43" s="4">
        <v>11</v>
      </c>
      <c r="H43" s="4">
        <v>78341</v>
      </c>
      <c r="I43" s="4" t="s">
        <v>88</v>
      </c>
    </row>
    <row r="44" spans="1:9" x14ac:dyDescent="0.3">
      <c r="A44" s="4" t="s">
        <v>141</v>
      </c>
      <c r="B44" s="4" t="s">
        <v>142</v>
      </c>
      <c r="C44" s="4" t="s">
        <v>143</v>
      </c>
      <c r="D44" s="4" t="s">
        <v>48</v>
      </c>
      <c r="E44" s="4" t="s">
        <v>61</v>
      </c>
      <c r="F44" s="4" t="s">
        <v>89</v>
      </c>
      <c r="G44" s="4">
        <v>8</v>
      </c>
      <c r="H44" s="4">
        <v>79324</v>
      </c>
      <c r="I44" s="4" t="s">
        <v>89</v>
      </c>
    </row>
    <row r="45" spans="1:9" x14ac:dyDescent="0.3">
      <c r="A45" s="4" t="s">
        <v>144</v>
      </c>
      <c r="B45" s="4" t="s">
        <v>145</v>
      </c>
      <c r="C45" s="4" t="s">
        <v>43</v>
      </c>
      <c r="D45" s="4" t="s">
        <v>27</v>
      </c>
      <c r="E45" s="4" t="s">
        <v>12</v>
      </c>
      <c r="F45" s="4" t="s">
        <v>89</v>
      </c>
      <c r="G45" s="4">
        <v>11</v>
      </c>
      <c r="H45" s="4">
        <v>47852</v>
      </c>
      <c r="I45" s="4" t="s">
        <v>89</v>
      </c>
    </row>
    <row r="46" spans="1:9" x14ac:dyDescent="0.3">
      <c r="A46" s="4" t="s">
        <v>146</v>
      </c>
      <c r="B46" s="4" t="s">
        <v>147</v>
      </c>
      <c r="C46" s="4" t="s">
        <v>148</v>
      </c>
      <c r="D46" s="4" t="s">
        <v>27</v>
      </c>
      <c r="E46" s="4" t="s">
        <v>18</v>
      </c>
      <c r="F46" s="4" t="s">
        <v>89</v>
      </c>
      <c r="G46" s="4">
        <v>9</v>
      </c>
      <c r="H46" s="4">
        <v>117549</v>
      </c>
      <c r="I46" s="4" t="s">
        <v>89</v>
      </c>
    </row>
    <row r="47" spans="1:9" x14ac:dyDescent="0.3">
      <c r="A47" s="4" t="s">
        <v>149</v>
      </c>
      <c r="B47" s="4" t="s">
        <v>150</v>
      </c>
      <c r="C47" s="4" t="s">
        <v>151</v>
      </c>
      <c r="D47" s="4" t="s">
        <v>48</v>
      </c>
      <c r="E47" s="4" t="s">
        <v>61</v>
      </c>
      <c r="F47" s="4" t="s">
        <v>88</v>
      </c>
      <c r="G47" s="4">
        <v>15</v>
      </c>
      <c r="H47" s="4">
        <v>145308</v>
      </c>
      <c r="I47" s="4" t="s">
        <v>88</v>
      </c>
    </row>
    <row r="48" spans="1:9" x14ac:dyDescent="0.3">
      <c r="A48" s="4" t="s">
        <v>152</v>
      </c>
      <c r="B48" s="4" t="s">
        <v>36</v>
      </c>
      <c r="C48" s="4" t="s">
        <v>153</v>
      </c>
      <c r="D48" s="4" t="s">
        <v>27</v>
      </c>
      <c r="E48" s="4" t="s">
        <v>44</v>
      </c>
      <c r="F48" s="4" t="s">
        <v>89</v>
      </c>
      <c r="G48" s="4">
        <v>9</v>
      </c>
      <c r="H48" s="4">
        <v>67663</v>
      </c>
      <c r="I48" s="4" t="s">
        <v>89</v>
      </c>
    </row>
    <row r="49" spans="1:9" x14ac:dyDescent="0.3">
      <c r="A49" s="4" t="s">
        <v>154</v>
      </c>
      <c r="B49" s="4" t="s">
        <v>155</v>
      </c>
      <c r="C49" s="4" t="s">
        <v>71</v>
      </c>
      <c r="D49" s="4" t="s">
        <v>27</v>
      </c>
      <c r="E49" s="4" t="s">
        <v>18</v>
      </c>
      <c r="F49" s="4" t="s">
        <v>88</v>
      </c>
      <c r="G49" s="4">
        <v>13</v>
      </c>
      <c r="H49" s="4">
        <v>109087</v>
      </c>
      <c r="I49" s="4" t="s">
        <v>88</v>
      </c>
    </row>
    <row r="50" spans="1:9" x14ac:dyDescent="0.3">
      <c r="A50" s="4" t="s">
        <v>156</v>
      </c>
      <c r="B50" s="4" t="s">
        <v>157</v>
      </c>
      <c r="C50" s="4" t="s">
        <v>10</v>
      </c>
      <c r="D50" s="4" t="s">
        <v>48</v>
      </c>
      <c r="E50" s="4" t="s">
        <v>12</v>
      </c>
      <c r="F50" s="4" t="s">
        <v>89</v>
      </c>
      <c r="G50" s="4">
        <v>17</v>
      </c>
      <c r="H50" s="4">
        <v>73492</v>
      </c>
      <c r="I50" s="4" t="s">
        <v>89</v>
      </c>
    </row>
    <row r="51" spans="1:9" x14ac:dyDescent="0.3">
      <c r="A51" s="4" t="s">
        <v>158</v>
      </c>
      <c r="B51" s="4" t="s">
        <v>159</v>
      </c>
      <c r="C51" s="4" t="s">
        <v>160</v>
      </c>
      <c r="D51" s="4" t="s">
        <v>48</v>
      </c>
      <c r="E51" s="4" t="s">
        <v>12</v>
      </c>
      <c r="F51" s="4" t="s">
        <v>88</v>
      </c>
      <c r="G51" s="4">
        <v>11</v>
      </c>
      <c r="H51" s="4">
        <v>116781</v>
      </c>
      <c r="I51" s="4" t="s">
        <v>88</v>
      </c>
    </row>
    <row r="52" spans="1:9" x14ac:dyDescent="0.3">
      <c r="A52" s="4" t="s">
        <v>161</v>
      </c>
      <c r="B52" s="4" t="s">
        <v>162</v>
      </c>
      <c r="C52" s="4" t="s">
        <v>163</v>
      </c>
      <c r="D52" s="4" t="s">
        <v>48</v>
      </c>
      <c r="E52" s="4" t="s">
        <v>44</v>
      </c>
      <c r="F52" s="4" t="s">
        <v>89</v>
      </c>
      <c r="G52" s="4">
        <v>2</v>
      </c>
      <c r="H52" s="4">
        <v>44104</v>
      </c>
      <c r="I52" s="4" t="s">
        <v>89</v>
      </c>
    </row>
    <row r="53" spans="1:9" x14ac:dyDescent="0.3">
      <c r="A53" s="4" t="s">
        <v>164</v>
      </c>
      <c r="B53" s="4" t="s">
        <v>165</v>
      </c>
      <c r="C53" s="4" t="s">
        <v>166</v>
      </c>
      <c r="D53" s="4" t="s">
        <v>27</v>
      </c>
      <c r="E53" s="4" t="s">
        <v>18</v>
      </c>
      <c r="F53" s="4" t="s">
        <v>88</v>
      </c>
      <c r="G53" s="4">
        <v>16</v>
      </c>
      <c r="H53" s="4">
        <v>54583</v>
      </c>
      <c r="I53" s="4" t="s">
        <v>88</v>
      </c>
    </row>
    <row r="54" spans="1:9" x14ac:dyDescent="0.3">
      <c r="A54" s="4" t="s">
        <v>167</v>
      </c>
      <c r="B54" s="4" t="s">
        <v>168</v>
      </c>
      <c r="C54" s="4" t="s">
        <v>106</v>
      </c>
      <c r="D54" s="4" t="s">
        <v>48</v>
      </c>
      <c r="E54" s="4" t="s">
        <v>12</v>
      </c>
      <c r="F54" s="4" t="s">
        <v>89</v>
      </c>
      <c r="G54" s="4">
        <v>16</v>
      </c>
      <c r="H54" s="4">
        <v>49609</v>
      </c>
      <c r="I54" s="4" t="s">
        <v>89</v>
      </c>
    </row>
    <row r="55" spans="1:9" x14ac:dyDescent="0.3">
      <c r="A55" s="4" t="s">
        <v>169</v>
      </c>
      <c r="B55" s="4" t="s">
        <v>170</v>
      </c>
      <c r="C55" s="4" t="s">
        <v>26</v>
      </c>
      <c r="D55" s="4" t="s">
        <v>40</v>
      </c>
      <c r="E55" s="4" t="s">
        <v>18</v>
      </c>
      <c r="F55" s="4" t="s">
        <v>89</v>
      </c>
      <c r="G55" s="4">
        <v>20</v>
      </c>
      <c r="H55" s="4">
        <v>46520</v>
      </c>
      <c r="I55" s="4" t="s">
        <v>89</v>
      </c>
    </row>
    <row r="56" spans="1:9" x14ac:dyDescent="0.3">
      <c r="A56" s="4" t="s">
        <v>171</v>
      </c>
      <c r="B56" s="4" t="s">
        <v>172</v>
      </c>
      <c r="C56" s="4" t="s">
        <v>173</v>
      </c>
      <c r="D56" s="4" t="s">
        <v>40</v>
      </c>
      <c r="E56" s="4" t="s">
        <v>61</v>
      </c>
      <c r="F56" s="4" t="s">
        <v>88</v>
      </c>
      <c r="G56" s="4">
        <v>7</v>
      </c>
      <c r="H56" s="4">
        <v>87837</v>
      </c>
      <c r="I56" s="4" t="s">
        <v>88</v>
      </c>
    </row>
    <row r="57" spans="1:9" x14ac:dyDescent="0.3">
      <c r="A57" s="4" t="s">
        <v>174</v>
      </c>
      <c r="B57" s="4" t="s">
        <v>175</v>
      </c>
      <c r="C57" s="4" t="s">
        <v>109</v>
      </c>
      <c r="D57" s="4" t="s">
        <v>27</v>
      </c>
      <c r="E57" s="4" t="s">
        <v>12</v>
      </c>
      <c r="F57" s="4" t="s">
        <v>88</v>
      </c>
      <c r="G57" s="4">
        <v>17</v>
      </c>
      <c r="H57" s="4">
        <v>40012</v>
      </c>
      <c r="I57" s="4" t="s">
        <v>88</v>
      </c>
    </row>
    <row r="58" spans="1:9" x14ac:dyDescent="0.3">
      <c r="A58" s="4" t="s">
        <v>176</v>
      </c>
      <c r="B58" s="4" t="s">
        <v>177</v>
      </c>
      <c r="C58" s="4" t="s">
        <v>92</v>
      </c>
      <c r="D58" s="4" t="s">
        <v>40</v>
      </c>
      <c r="E58" s="4" t="s">
        <v>18</v>
      </c>
      <c r="F58" s="4" t="s">
        <v>88</v>
      </c>
      <c r="G58" s="4">
        <v>10</v>
      </c>
      <c r="H58" s="4">
        <v>100737</v>
      </c>
      <c r="I58" s="4" t="s">
        <v>88</v>
      </c>
    </row>
    <row r="59" spans="1:9" x14ac:dyDescent="0.3">
      <c r="A59" s="4" t="s">
        <v>178</v>
      </c>
      <c r="B59" s="4" t="s">
        <v>179</v>
      </c>
      <c r="C59" s="4" t="s">
        <v>180</v>
      </c>
      <c r="D59" s="4" t="s">
        <v>27</v>
      </c>
      <c r="E59" s="4" t="s">
        <v>44</v>
      </c>
      <c r="F59" s="4" t="s">
        <v>89</v>
      </c>
      <c r="G59" s="4">
        <v>16</v>
      </c>
      <c r="H59" s="4">
        <v>99616</v>
      </c>
      <c r="I59" s="4" t="s">
        <v>89</v>
      </c>
    </row>
    <row r="60" spans="1:9" x14ac:dyDescent="0.3">
      <c r="A60" s="4" t="s">
        <v>181</v>
      </c>
      <c r="B60" s="4" t="s">
        <v>182</v>
      </c>
      <c r="C60" s="4" t="s">
        <v>36</v>
      </c>
      <c r="D60" s="4" t="s">
        <v>48</v>
      </c>
      <c r="E60" s="4" t="s">
        <v>44</v>
      </c>
      <c r="F60" s="4" t="s">
        <v>89</v>
      </c>
      <c r="G60" s="4">
        <v>9</v>
      </c>
      <c r="H60" s="4">
        <v>74441</v>
      </c>
      <c r="I60" s="4" t="s">
        <v>89</v>
      </c>
    </row>
    <row r="61" spans="1:9" x14ac:dyDescent="0.3">
      <c r="A61" s="4" t="s">
        <v>183</v>
      </c>
      <c r="B61" s="4" t="s">
        <v>184</v>
      </c>
      <c r="C61" s="4" t="s">
        <v>185</v>
      </c>
      <c r="D61" s="4" t="s">
        <v>48</v>
      </c>
      <c r="E61" s="4" t="s">
        <v>18</v>
      </c>
      <c r="F61" s="4" t="s">
        <v>89</v>
      </c>
      <c r="G61" s="4">
        <v>4</v>
      </c>
      <c r="H61" s="4">
        <v>132909</v>
      </c>
      <c r="I61" s="4" t="s">
        <v>89</v>
      </c>
    </row>
    <row r="62" spans="1:9" x14ac:dyDescent="0.3">
      <c r="A62" s="4" t="s">
        <v>186</v>
      </c>
      <c r="B62" s="4" t="s">
        <v>187</v>
      </c>
      <c r="C62" s="4" t="s">
        <v>180</v>
      </c>
      <c r="D62" s="4" t="s">
        <v>17</v>
      </c>
      <c r="E62" s="4" t="s">
        <v>44</v>
      </c>
      <c r="F62" s="4" t="s">
        <v>89</v>
      </c>
      <c r="G62" s="4">
        <v>18</v>
      </c>
      <c r="H62" s="4">
        <v>117625</v>
      </c>
      <c r="I62" s="4" t="s">
        <v>89</v>
      </c>
    </row>
    <row r="63" spans="1:9" x14ac:dyDescent="0.3">
      <c r="A63" s="4" t="s">
        <v>188</v>
      </c>
      <c r="B63" s="4" t="s">
        <v>189</v>
      </c>
      <c r="C63" s="4" t="s">
        <v>151</v>
      </c>
      <c r="D63" s="4" t="s">
        <v>40</v>
      </c>
      <c r="E63" s="4" t="s">
        <v>61</v>
      </c>
      <c r="F63" s="4" t="s">
        <v>88</v>
      </c>
      <c r="G63" s="4">
        <v>10</v>
      </c>
      <c r="H63" s="4">
        <v>106332</v>
      </c>
      <c r="I63" s="4" t="s">
        <v>88</v>
      </c>
    </row>
    <row r="64" spans="1:9" x14ac:dyDescent="0.3">
      <c r="A64" s="4" t="s">
        <v>190</v>
      </c>
      <c r="B64" s="4" t="s">
        <v>131</v>
      </c>
      <c r="C64" s="4" t="s">
        <v>191</v>
      </c>
      <c r="D64" s="4" t="s">
        <v>11</v>
      </c>
      <c r="E64" s="4" t="s">
        <v>18</v>
      </c>
      <c r="F64" s="4" t="s">
        <v>89</v>
      </c>
      <c r="G64" s="4">
        <v>15</v>
      </c>
      <c r="H64" s="4">
        <v>131724</v>
      </c>
      <c r="I64" s="4" t="s">
        <v>89</v>
      </c>
    </row>
    <row r="65" spans="1:9" x14ac:dyDescent="0.3">
      <c r="A65" s="4" t="s">
        <v>192</v>
      </c>
      <c r="B65" s="4" t="s">
        <v>193</v>
      </c>
      <c r="C65" s="4" t="s">
        <v>194</v>
      </c>
      <c r="D65" s="4" t="s">
        <v>11</v>
      </c>
      <c r="E65" s="4" t="s">
        <v>44</v>
      </c>
      <c r="F65" s="4" t="s">
        <v>89</v>
      </c>
      <c r="G65" s="4">
        <v>14</v>
      </c>
      <c r="H65" s="4">
        <v>115738</v>
      </c>
      <c r="I65" s="4" t="s">
        <v>89</v>
      </c>
    </row>
    <row r="66" spans="1:9" x14ac:dyDescent="0.3">
      <c r="A66" s="4" t="s">
        <v>195</v>
      </c>
      <c r="B66" s="4" t="s">
        <v>145</v>
      </c>
      <c r="C66" s="4" t="s">
        <v>196</v>
      </c>
      <c r="D66" s="4" t="s">
        <v>11</v>
      </c>
      <c r="E66" s="4" t="s">
        <v>61</v>
      </c>
      <c r="F66" s="4" t="s">
        <v>89</v>
      </c>
      <c r="G66" s="4">
        <v>15</v>
      </c>
      <c r="H66" s="4">
        <v>43693</v>
      </c>
      <c r="I66" s="4" t="s">
        <v>89</v>
      </c>
    </row>
    <row r="67" spans="1:9" x14ac:dyDescent="0.3">
      <c r="A67" s="4" t="s">
        <v>197</v>
      </c>
      <c r="B67" s="4" t="s">
        <v>198</v>
      </c>
      <c r="C67" s="4" t="s">
        <v>199</v>
      </c>
      <c r="D67" s="4" t="s">
        <v>11</v>
      </c>
      <c r="E67" s="4" t="s">
        <v>18</v>
      </c>
      <c r="F67" s="4" t="s">
        <v>89</v>
      </c>
      <c r="G67" s="4">
        <v>6</v>
      </c>
      <c r="H67" s="4">
        <v>53221</v>
      </c>
      <c r="I67" s="4" t="s">
        <v>89</v>
      </c>
    </row>
    <row r="68" spans="1:9" x14ac:dyDescent="0.3">
      <c r="A68" s="4" t="s">
        <v>200</v>
      </c>
      <c r="B68" s="4" t="s">
        <v>201</v>
      </c>
      <c r="C68" s="4" t="s">
        <v>202</v>
      </c>
      <c r="D68" s="4" t="s">
        <v>23</v>
      </c>
      <c r="E68" s="4" t="s">
        <v>12</v>
      </c>
      <c r="F68" s="4" t="s">
        <v>89</v>
      </c>
      <c r="G68" s="4">
        <v>5</v>
      </c>
      <c r="H68" s="4">
        <v>122120</v>
      </c>
      <c r="I68" s="4" t="s">
        <v>89</v>
      </c>
    </row>
    <row r="69" spans="1:9" x14ac:dyDescent="0.3">
      <c r="A69" s="4" t="s">
        <v>203</v>
      </c>
      <c r="B69" s="4" t="s">
        <v>204</v>
      </c>
      <c r="C69" s="4" t="s">
        <v>26</v>
      </c>
      <c r="D69" s="4" t="s">
        <v>48</v>
      </c>
      <c r="E69" s="4" t="s">
        <v>18</v>
      </c>
      <c r="F69" s="4" t="s">
        <v>89</v>
      </c>
      <c r="G69" s="4">
        <v>9</v>
      </c>
      <c r="H69" s="4">
        <v>142285</v>
      </c>
      <c r="I69" s="4" t="s">
        <v>89</v>
      </c>
    </row>
    <row r="70" spans="1:9" x14ac:dyDescent="0.3">
      <c r="A70" s="4" t="s">
        <v>205</v>
      </c>
      <c r="B70" s="4" t="s">
        <v>206</v>
      </c>
      <c r="C70" s="4" t="s">
        <v>207</v>
      </c>
      <c r="D70" s="4" t="s">
        <v>23</v>
      </c>
      <c r="E70" s="4" t="s">
        <v>44</v>
      </c>
      <c r="F70" s="4" t="s">
        <v>89</v>
      </c>
      <c r="G70" s="4">
        <v>11</v>
      </c>
      <c r="H70" s="4">
        <v>125508</v>
      </c>
      <c r="I70" s="4" t="s">
        <v>89</v>
      </c>
    </row>
    <row r="71" spans="1:9" x14ac:dyDescent="0.3">
      <c r="A71" s="4" t="s">
        <v>208</v>
      </c>
      <c r="B71" s="4" t="s">
        <v>209</v>
      </c>
      <c r="C71" s="4" t="s">
        <v>191</v>
      </c>
      <c r="D71" s="4" t="s">
        <v>17</v>
      </c>
      <c r="E71" s="4" t="s">
        <v>18</v>
      </c>
      <c r="F71" s="4" t="s">
        <v>88</v>
      </c>
      <c r="G71" s="4">
        <v>13</v>
      </c>
      <c r="H71" s="4">
        <v>124920</v>
      </c>
      <c r="I71" s="4" t="s">
        <v>88</v>
      </c>
    </row>
    <row r="72" spans="1:9" x14ac:dyDescent="0.3">
      <c r="A72" s="4" t="s">
        <v>210</v>
      </c>
      <c r="B72" s="4" t="s">
        <v>211</v>
      </c>
      <c r="C72" s="4" t="s">
        <v>212</v>
      </c>
      <c r="D72" s="4" t="s">
        <v>48</v>
      </c>
      <c r="E72" s="4" t="s">
        <v>44</v>
      </c>
      <c r="F72" s="4" t="s">
        <v>88</v>
      </c>
      <c r="G72" s="4">
        <v>14</v>
      </c>
      <c r="H72" s="4">
        <v>66059</v>
      </c>
      <c r="I72" s="4" t="s">
        <v>88</v>
      </c>
    </row>
    <row r="73" spans="1:9" x14ac:dyDescent="0.3">
      <c r="A73" s="4" t="s">
        <v>213</v>
      </c>
      <c r="B73" s="4" t="s">
        <v>214</v>
      </c>
      <c r="C73" s="4" t="s">
        <v>160</v>
      </c>
      <c r="D73" s="4" t="s">
        <v>27</v>
      </c>
      <c r="E73" s="4" t="s">
        <v>61</v>
      </c>
      <c r="F73" s="4" t="s">
        <v>88</v>
      </c>
      <c r="G73" s="4">
        <v>14</v>
      </c>
      <c r="H73" s="4">
        <v>74783</v>
      </c>
      <c r="I73" s="4" t="s">
        <v>88</v>
      </c>
    </row>
    <row r="74" spans="1:9" x14ac:dyDescent="0.3">
      <c r="A74" s="4" t="s">
        <v>215</v>
      </c>
      <c r="B74" s="4" t="s">
        <v>216</v>
      </c>
      <c r="C74" s="4" t="s">
        <v>217</v>
      </c>
      <c r="D74" s="4" t="s">
        <v>40</v>
      </c>
      <c r="E74" s="4" t="s">
        <v>18</v>
      </c>
      <c r="F74" s="4" t="s">
        <v>88</v>
      </c>
      <c r="G74" s="4">
        <v>13</v>
      </c>
      <c r="H74" s="4">
        <v>75495</v>
      </c>
      <c r="I74" s="4" t="s">
        <v>88</v>
      </c>
    </row>
    <row r="75" spans="1:9" x14ac:dyDescent="0.3">
      <c r="A75" s="4" t="s">
        <v>218</v>
      </c>
      <c r="B75" s="4" t="s">
        <v>219</v>
      </c>
      <c r="C75" s="4" t="s">
        <v>106</v>
      </c>
      <c r="D75" s="4" t="s">
        <v>11</v>
      </c>
      <c r="E75" s="4" t="s">
        <v>61</v>
      </c>
      <c r="F75" s="4" t="s">
        <v>89</v>
      </c>
      <c r="G75" s="4">
        <v>16</v>
      </c>
      <c r="H75" s="4">
        <v>111782</v>
      </c>
      <c r="I75" s="4" t="s">
        <v>89</v>
      </c>
    </row>
    <row r="76" spans="1:9" x14ac:dyDescent="0.3">
      <c r="A76" s="4" t="s">
        <v>220</v>
      </c>
      <c r="B76" s="4" t="s">
        <v>221</v>
      </c>
      <c r="C76" s="4" t="s">
        <v>54</v>
      </c>
      <c r="D76" s="4" t="s">
        <v>27</v>
      </c>
      <c r="E76" s="4" t="s">
        <v>61</v>
      </c>
      <c r="F76" s="4" t="s">
        <v>89</v>
      </c>
      <c r="G76" s="4">
        <v>20</v>
      </c>
      <c r="H76" s="4">
        <v>122916</v>
      </c>
      <c r="I76" s="4" t="s">
        <v>89</v>
      </c>
    </row>
    <row r="77" spans="1:9" x14ac:dyDescent="0.3">
      <c r="A77" s="4" t="s">
        <v>222</v>
      </c>
      <c r="B77" s="4" t="s">
        <v>223</v>
      </c>
      <c r="C77" s="4" t="s">
        <v>224</v>
      </c>
      <c r="D77" s="4" t="s">
        <v>11</v>
      </c>
      <c r="E77" s="4" t="s">
        <v>61</v>
      </c>
      <c r="F77" s="4" t="s">
        <v>88</v>
      </c>
      <c r="G77" s="4">
        <v>10</v>
      </c>
      <c r="H77" s="4">
        <v>118193</v>
      </c>
      <c r="I77" s="4" t="s">
        <v>88</v>
      </c>
    </row>
    <row r="78" spans="1:9" x14ac:dyDescent="0.3">
      <c r="A78" s="4" t="s">
        <v>225</v>
      </c>
      <c r="B78" s="4" t="s">
        <v>226</v>
      </c>
      <c r="C78" s="4" t="s">
        <v>227</v>
      </c>
      <c r="D78" s="4" t="s">
        <v>40</v>
      </c>
      <c r="E78" s="4" t="s">
        <v>12</v>
      </c>
      <c r="F78" s="4" t="s">
        <v>88</v>
      </c>
      <c r="G78" s="4">
        <v>14</v>
      </c>
      <c r="H78" s="4">
        <v>83808</v>
      </c>
      <c r="I78" s="4" t="s">
        <v>88</v>
      </c>
    </row>
    <row r="79" spans="1:9" x14ac:dyDescent="0.3">
      <c r="A79" s="4" t="s">
        <v>228</v>
      </c>
      <c r="B79" s="4" t="s">
        <v>229</v>
      </c>
      <c r="C79" s="4" t="s">
        <v>230</v>
      </c>
      <c r="D79" s="4" t="s">
        <v>11</v>
      </c>
      <c r="E79" s="4" t="s">
        <v>12</v>
      </c>
      <c r="F79" s="4" t="s">
        <v>88</v>
      </c>
      <c r="G79" s="4">
        <v>14</v>
      </c>
      <c r="H79" s="4">
        <v>104460</v>
      </c>
      <c r="I79" s="4" t="s">
        <v>88</v>
      </c>
    </row>
    <row r="80" spans="1:9" x14ac:dyDescent="0.3">
      <c r="A80" s="4" t="s">
        <v>231</v>
      </c>
      <c r="B80" s="4" t="s">
        <v>232</v>
      </c>
      <c r="C80" s="4" t="s">
        <v>47</v>
      </c>
      <c r="D80" s="4" t="s">
        <v>48</v>
      </c>
      <c r="E80" s="4" t="s">
        <v>18</v>
      </c>
      <c r="F80" s="4" t="s">
        <v>88</v>
      </c>
      <c r="G80" s="4">
        <v>6</v>
      </c>
      <c r="H80" s="4">
        <v>142447</v>
      </c>
      <c r="I80" s="4" t="s">
        <v>88</v>
      </c>
    </row>
    <row r="81" spans="1:9" x14ac:dyDescent="0.3">
      <c r="A81" s="4" t="s">
        <v>233</v>
      </c>
      <c r="B81" s="4" t="s">
        <v>234</v>
      </c>
      <c r="C81" s="4" t="s">
        <v>77</v>
      </c>
      <c r="D81" s="4" t="s">
        <v>40</v>
      </c>
      <c r="E81" s="4" t="s">
        <v>18</v>
      </c>
      <c r="F81" s="4" t="s">
        <v>89</v>
      </c>
      <c r="G81" s="4">
        <v>2</v>
      </c>
      <c r="H81" s="4">
        <v>57293</v>
      </c>
      <c r="I81" s="4" t="s">
        <v>89</v>
      </c>
    </row>
    <row r="82" spans="1:9" x14ac:dyDescent="0.3">
      <c r="A82" s="4" t="s">
        <v>235</v>
      </c>
      <c r="B82" s="4" t="s">
        <v>236</v>
      </c>
      <c r="C82" s="4" t="s">
        <v>43</v>
      </c>
      <c r="D82" s="4" t="s">
        <v>11</v>
      </c>
      <c r="E82" s="4" t="s">
        <v>44</v>
      </c>
      <c r="F82" s="4" t="s">
        <v>88</v>
      </c>
      <c r="G82" s="4">
        <v>18</v>
      </c>
      <c r="H82" s="4">
        <v>40966</v>
      </c>
      <c r="I82" s="4" t="s">
        <v>88</v>
      </c>
    </row>
    <row r="83" spans="1:9" x14ac:dyDescent="0.3">
      <c r="A83" s="4" t="s">
        <v>237</v>
      </c>
      <c r="B83" s="4" t="s">
        <v>238</v>
      </c>
      <c r="C83" s="4" t="s">
        <v>30</v>
      </c>
      <c r="D83" s="4" t="s">
        <v>17</v>
      </c>
      <c r="E83" s="4" t="s">
        <v>44</v>
      </c>
      <c r="F83" s="4" t="s">
        <v>89</v>
      </c>
      <c r="G83" s="4">
        <v>18</v>
      </c>
      <c r="H83" s="4">
        <v>136828</v>
      </c>
      <c r="I83" s="4" t="s">
        <v>89</v>
      </c>
    </row>
    <row r="84" spans="1:9" x14ac:dyDescent="0.3">
      <c r="A84" s="4" t="s">
        <v>239</v>
      </c>
      <c r="B84" s="4" t="s">
        <v>240</v>
      </c>
      <c r="C84" s="4" t="s">
        <v>241</v>
      </c>
      <c r="D84" s="4" t="s">
        <v>23</v>
      </c>
      <c r="E84" s="4" t="s">
        <v>18</v>
      </c>
      <c r="F84" s="4" t="s">
        <v>89</v>
      </c>
      <c r="G84" s="4">
        <v>1</v>
      </c>
      <c r="H84" s="4">
        <v>103601</v>
      </c>
      <c r="I84" s="4" t="s">
        <v>89</v>
      </c>
    </row>
    <row r="85" spans="1:9" x14ac:dyDescent="0.3">
      <c r="A85" s="4" t="s">
        <v>242</v>
      </c>
      <c r="B85" s="4" t="s">
        <v>243</v>
      </c>
      <c r="C85" s="4" t="s">
        <v>244</v>
      </c>
      <c r="D85" s="4" t="s">
        <v>40</v>
      </c>
      <c r="E85" s="4" t="s">
        <v>12</v>
      </c>
      <c r="F85" s="4" t="s">
        <v>88</v>
      </c>
      <c r="G85" s="4">
        <v>4</v>
      </c>
      <c r="H85" s="4">
        <v>52957</v>
      </c>
      <c r="I85" s="4" t="s">
        <v>88</v>
      </c>
    </row>
    <row r="86" spans="1:9" x14ac:dyDescent="0.3">
      <c r="A86" s="4" t="s">
        <v>245</v>
      </c>
      <c r="B86" s="4" t="s">
        <v>246</v>
      </c>
      <c r="C86" s="4" t="s">
        <v>241</v>
      </c>
      <c r="D86" s="4" t="s">
        <v>11</v>
      </c>
      <c r="E86" s="4" t="s">
        <v>18</v>
      </c>
      <c r="F86" s="4" t="s">
        <v>89</v>
      </c>
      <c r="G86" s="4">
        <v>18</v>
      </c>
      <c r="H86" s="4">
        <v>102739</v>
      </c>
      <c r="I86" s="4" t="s">
        <v>89</v>
      </c>
    </row>
    <row r="87" spans="1:9" x14ac:dyDescent="0.3">
      <c r="A87" s="4" t="s">
        <v>247</v>
      </c>
      <c r="B87" s="4" t="s">
        <v>248</v>
      </c>
      <c r="C87" s="4" t="s">
        <v>185</v>
      </c>
      <c r="D87" s="4" t="s">
        <v>40</v>
      </c>
      <c r="E87" s="4" t="s">
        <v>18</v>
      </c>
      <c r="F87" s="4" t="s">
        <v>88</v>
      </c>
      <c r="G87" s="4">
        <v>7</v>
      </c>
      <c r="H87" s="4">
        <v>73961</v>
      </c>
      <c r="I87" s="4" t="s">
        <v>88</v>
      </c>
    </row>
    <row r="88" spans="1:9" x14ac:dyDescent="0.3">
      <c r="A88" s="4" t="s">
        <v>249</v>
      </c>
      <c r="B88" s="4" t="s">
        <v>250</v>
      </c>
      <c r="C88" s="4" t="s">
        <v>39</v>
      </c>
      <c r="D88" s="4" t="s">
        <v>48</v>
      </c>
      <c r="E88" s="4" t="s">
        <v>12</v>
      </c>
      <c r="F88" s="4" t="s">
        <v>88</v>
      </c>
      <c r="G88" s="4">
        <v>18</v>
      </c>
      <c r="H88" s="4">
        <v>93384</v>
      </c>
      <c r="I88" s="4" t="s">
        <v>88</v>
      </c>
    </row>
    <row r="89" spans="1:9" x14ac:dyDescent="0.3">
      <c r="A89" s="4" t="s">
        <v>251</v>
      </c>
      <c r="B89" s="4" t="s">
        <v>252</v>
      </c>
      <c r="C89" s="4" t="s">
        <v>153</v>
      </c>
      <c r="D89" s="4" t="s">
        <v>27</v>
      </c>
      <c r="E89" s="4" t="s">
        <v>12</v>
      </c>
      <c r="F89" s="4" t="s">
        <v>89</v>
      </c>
      <c r="G89" s="4">
        <v>12</v>
      </c>
      <c r="H89" s="4">
        <v>120575</v>
      </c>
      <c r="I89" s="4" t="s">
        <v>89</v>
      </c>
    </row>
    <row r="90" spans="1:9" x14ac:dyDescent="0.3">
      <c r="A90" s="4" t="s">
        <v>253</v>
      </c>
      <c r="B90" s="4" t="s">
        <v>254</v>
      </c>
      <c r="C90" s="4" t="s">
        <v>51</v>
      </c>
      <c r="D90" s="4" t="s">
        <v>40</v>
      </c>
      <c r="E90" s="4" t="s">
        <v>12</v>
      </c>
      <c r="F90" s="4" t="s">
        <v>88</v>
      </c>
      <c r="G90" s="4">
        <v>20</v>
      </c>
      <c r="H90" s="4">
        <v>93692</v>
      </c>
      <c r="I90" s="4" t="s">
        <v>88</v>
      </c>
    </row>
    <row r="91" spans="1:9" x14ac:dyDescent="0.3">
      <c r="A91" s="4" t="s">
        <v>255</v>
      </c>
      <c r="B91" s="4" t="s">
        <v>256</v>
      </c>
      <c r="C91" s="4" t="s">
        <v>113</v>
      </c>
      <c r="D91" s="4" t="s">
        <v>27</v>
      </c>
      <c r="E91" s="4" t="s">
        <v>61</v>
      </c>
      <c r="F91" s="4" t="s">
        <v>89</v>
      </c>
      <c r="G91" s="4">
        <v>16</v>
      </c>
      <c r="H91" s="4">
        <v>91522</v>
      </c>
      <c r="I91" s="4" t="s">
        <v>89</v>
      </c>
    </row>
    <row r="92" spans="1:9" x14ac:dyDescent="0.3">
      <c r="A92" s="4" t="s">
        <v>257</v>
      </c>
      <c r="B92" s="4" t="s">
        <v>258</v>
      </c>
      <c r="C92" s="4" t="s">
        <v>60</v>
      </c>
      <c r="D92" s="4" t="s">
        <v>48</v>
      </c>
      <c r="E92" s="4" t="s">
        <v>12</v>
      </c>
      <c r="F92" s="4" t="s">
        <v>89</v>
      </c>
      <c r="G92" s="4">
        <v>20</v>
      </c>
      <c r="H92" s="4">
        <v>87966</v>
      </c>
      <c r="I92" s="4" t="s">
        <v>89</v>
      </c>
    </row>
    <row r="93" spans="1:9" x14ac:dyDescent="0.3">
      <c r="A93" s="4" t="s">
        <v>259</v>
      </c>
      <c r="B93" s="4" t="s">
        <v>260</v>
      </c>
      <c r="C93" s="4" t="s">
        <v>160</v>
      </c>
      <c r="D93" s="4" t="s">
        <v>23</v>
      </c>
      <c r="E93" s="4" t="s">
        <v>61</v>
      </c>
      <c r="F93" s="4" t="s">
        <v>88</v>
      </c>
      <c r="G93" s="4">
        <v>20</v>
      </c>
      <c r="H93" s="4">
        <v>109396</v>
      </c>
      <c r="I93" s="4" t="s">
        <v>88</v>
      </c>
    </row>
    <row r="94" spans="1:9" x14ac:dyDescent="0.3">
      <c r="A94" s="4" t="s">
        <v>261</v>
      </c>
      <c r="B94" s="4" t="s">
        <v>262</v>
      </c>
      <c r="C94" s="4" t="s">
        <v>43</v>
      </c>
      <c r="D94" s="4" t="s">
        <v>40</v>
      </c>
      <c r="E94" s="4" t="s">
        <v>44</v>
      </c>
      <c r="F94" s="4" t="s">
        <v>89</v>
      </c>
      <c r="G94" s="4">
        <v>6</v>
      </c>
      <c r="H94" s="4">
        <v>64243</v>
      </c>
      <c r="I94" s="4" t="s">
        <v>89</v>
      </c>
    </row>
    <row r="95" spans="1:9" x14ac:dyDescent="0.3">
      <c r="A95" s="4" t="s">
        <v>263</v>
      </c>
      <c r="B95" s="4" t="s">
        <v>264</v>
      </c>
      <c r="C95" s="4" t="s">
        <v>163</v>
      </c>
      <c r="D95" s="4" t="s">
        <v>17</v>
      </c>
      <c r="E95" s="4" t="s">
        <v>61</v>
      </c>
      <c r="F95" s="4" t="s">
        <v>88</v>
      </c>
      <c r="G95" s="4">
        <v>7</v>
      </c>
      <c r="H95" s="4">
        <v>123602</v>
      </c>
      <c r="I95" s="4" t="s">
        <v>88</v>
      </c>
    </row>
    <row r="96" spans="1:9" x14ac:dyDescent="0.3">
      <c r="A96" s="4" t="s">
        <v>265</v>
      </c>
      <c r="B96" s="4" t="s">
        <v>266</v>
      </c>
      <c r="C96" s="4" t="s">
        <v>267</v>
      </c>
      <c r="D96" s="4" t="s">
        <v>17</v>
      </c>
      <c r="E96" s="4" t="s">
        <v>44</v>
      </c>
      <c r="F96" s="4" t="s">
        <v>89</v>
      </c>
      <c r="G96" s="4">
        <v>6</v>
      </c>
      <c r="H96" s="4">
        <v>123056</v>
      </c>
      <c r="I96" s="4" t="s">
        <v>89</v>
      </c>
    </row>
    <row r="97" spans="1:9" x14ac:dyDescent="0.3">
      <c r="A97" s="4" t="s">
        <v>268</v>
      </c>
      <c r="B97" s="4" t="s">
        <v>269</v>
      </c>
      <c r="C97" s="4" t="s">
        <v>30</v>
      </c>
      <c r="D97" s="4" t="s">
        <v>17</v>
      </c>
      <c r="E97" s="4" t="s">
        <v>12</v>
      </c>
      <c r="F97" s="4" t="s">
        <v>88</v>
      </c>
      <c r="G97" s="4">
        <v>6</v>
      </c>
      <c r="H97" s="4">
        <v>92906</v>
      </c>
      <c r="I97" s="4" t="s">
        <v>88</v>
      </c>
    </row>
    <row r="98" spans="1:9" x14ac:dyDescent="0.3">
      <c r="A98" s="4" t="s">
        <v>270</v>
      </c>
      <c r="B98" s="4" t="s">
        <v>271</v>
      </c>
      <c r="C98" s="4" t="s">
        <v>43</v>
      </c>
      <c r="D98" s="4" t="s">
        <v>27</v>
      </c>
      <c r="E98" s="4" t="s">
        <v>61</v>
      </c>
      <c r="F98" s="4" t="s">
        <v>89</v>
      </c>
      <c r="G98" s="4">
        <v>8</v>
      </c>
      <c r="H98" s="4">
        <v>64956</v>
      </c>
      <c r="I98" s="4" t="s">
        <v>89</v>
      </c>
    </row>
    <row r="99" spans="1:9" x14ac:dyDescent="0.3">
      <c r="A99" s="4" t="s">
        <v>272</v>
      </c>
      <c r="B99" s="4" t="s">
        <v>56</v>
      </c>
      <c r="C99" s="4" t="s">
        <v>143</v>
      </c>
      <c r="D99" s="4" t="s">
        <v>11</v>
      </c>
      <c r="E99" s="4" t="s">
        <v>18</v>
      </c>
      <c r="F99" s="4" t="s">
        <v>89</v>
      </c>
      <c r="G99" s="4">
        <v>11</v>
      </c>
      <c r="H99" s="4">
        <v>119764</v>
      </c>
      <c r="I99" s="4" t="s">
        <v>89</v>
      </c>
    </row>
    <row r="100" spans="1:9" x14ac:dyDescent="0.3">
      <c r="A100" s="4" t="s">
        <v>273</v>
      </c>
      <c r="B100" s="4" t="s">
        <v>274</v>
      </c>
      <c r="C100" s="4" t="s">
        <v>103</v>
      </c>
      <c r="D100" s="4" t="s">
        <v>27</v>
      </c>
      <c r="E100" s="4" t="s">
        <v>44</v>
      </c>
      <c r="F100" s="4" t="s">
        <v>89</v>
      </c>
      <c r="G100" s="4">
        <v>1</v>
      </c>
      <c r="H100" s="4">
        <v>76522</v>
      </c>
      <c r="I100" s="4" t="s">
        <v>89</v>
      </c>
    </row>
    <row r="101" spans="1:9" x14ac:dyDescent="0.3">
      <c r="A101" s="4" t="s">
        <v>275</v>
      </c>
      <c r="B101" s="4" t="s">
        <v>276</v>
      </c>
      <c r="C101" s="4" t="s">
        <v>277</v>
      </c>
      <c r="D101" s="4" t="s">
        <v>17</v>
      </c>
      <c r="E101" s="4" t="s">
        <v>18</v>
      </c>
      <c r="F101" s="4" t="s">
        <v>88</v>
      </c>
      <c r="G101" s="4">
        <v>12</v>
      </c>
      <c r="H101" s="4">
        <v>63238</v>
      </c>
      <c r="I101" s="4" t="s">
        <v>88</v>
      </c>
    </row>
  </sheetData>
  <autoFilter ref="A1:I101" xr:uid="{608968FA-F63D-46F2-BDB4-BF35011A567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67F4-FFBD-4C46-866B-088A2EE69E73}">
  <dimension ref="A1:J101"/>
  <sheetViews>
    <sheetView topLeftCell="A49" workbookViewId="0">
      <selection activeCell="J2" sqref="J2:J101"/>
    </sheetView>
  </sheetViews>
  <sheetFormatPr defaultColWidth="10.77734375" defaultRowHeight="14.4" x14ac:dyDescent="0.3"/>
  <cols>
    <col min="1" max="1" width="9.33203125" bestFit="1" customWidth="1"/>
    <col min="2" max="2" width="18.33203125" bestFit="1" customWidth="1"/>
    <col min="3" max="3" width="16.88671875" bestFit="1" customWidth="1"/>
    <col min="4" max="4" width="10.44140625" bestFit="1" customWidth="1"/>
    <col min="5" max="5" width="10.5546875" bestFit="1" customWidth="1"/>
    <col min="6" max="6" width="7.109375" bestFit="1" customWidth="1"/>
    <col min="7" max="7" width="10.109375" bestFit="1" customWidth="1"/>
    <col min="8" max="8" width="7" bestFit="1" customWidth="1"/>
    <col min="10" max="10" width="72.5546875" bestFit="1" customWidth="1"/>
  </cols>
  <sheetData>
    <row r="1" spans="1:10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88</v>
      </c>
      <c r="G2" s="5">
        <v>18</v>
      </c>
      <c r="H2" s="5">
        <v>103464</v>
      </c>
      <c r="J2" t="str">
        <f>_xlfn.TEXTJOIN("|",FALSE,A2:H2)</f>
        <v>E001|Pooja Thorat|Vishal Bhosale|Finance|Bachelor|Female|18|103464</v>
      </c>
    </row>
    <row r="3" spans="1:10" x14ac:dyDescent="0.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89</v>
      </c>
      <c r="G3" s="5">
        <v>9</v>
      </c>
      <c r="H3" s="5">
        <v>126942</v>
      </c>
      <c r="J3" s="5" t="str">
        <f t="shared" ref="J3:J66" si="0">_xlfn.TEXTJOIN("|",FALSE,A3:H3)</f>
        <v>E002|Shruti Sawant|Neelam Sawant|Engineering|PhD|Male|9|126942</v>
      </c>
    </row>
    <row r="4" spans="1:10" x14ac:dyDescent="0.3">
      <c r="A4" s="5" t="s">
        <v>20</v>
      </c>
      <c r="B4" s="5" t="s">
        <v>21</v>
      </c>
      <c r="C4" s="5" t="s">
        <v>22</v>
      </c>
      <c r="D4" s="5" t="s">
        <v>23</v>
      </c>
      <c r="E4" s="5" t="s">
        <v>18</v>
      </c>
      <c r="F4" s="5" t="s">
        <v>89</v>
      </c>
      <c r="G4" s="5">
        <v>14</v>
      </c>
      <c r="H4" s="5">
        <v>129882</v>
      </c>
      <c r="J4" s="5" t="str">
        <f t="shared" si="0"/>
        <v>E003|Rupal Kulkarni|Aparna Jadhav|HR|PhD|Male|14|129882</v>
      </c>
    </row>
    <row r="5" spans="1:10" x14ac:dyDescent="0.3">
      <c r="A5" s="5" t="s">
        <v>24</v>
      </c>
      <c r="B5" s="5" t="s">
        <v>25</v>
      </c>
      <c r="C5" s="5" t="s">
        <v>26</v>
      </c>
      <c r="D5" s="5" t="s">
        <v>27</v>
      </c>
      <c r="E5" s="5" t="s">
        <v>18</v>
      </c>
      <c r="F5" s="5" t="s">
        <v>89</v>
      </c>
      <c r="G5" s="5">
        <v>2</v>
      </c>
      <c r="H5" s="5">
        <v>71092</v>
      </c>
      <c r="J5" s="5" t="str">
        <f t="shared" si="0"/>
        <v>E004|Shweta Pawar|Siddhi Bhosale|Sales|PhD|Male|2|71092</v>
      </c>
    </row>
    <row r="6" spans="1:10" x14ac:dyDescent="0.3">
      <c r="A6" s="5" t="s">
        <v>28</v>
      </c>
      <c r="B6" s="5" t="s">
        <v>29</v>
      </c>
      <c r="C6" s="5" t="s">
        <v>30</v>
      </c>
      <c r="D6" s="5" t="s">
        <v>11</v>
      </c>
      <c r="E6" s="5" t="s">
        <v>12</v>
      </c>
      <c r="F6" s="5" t="s">
        <v>88</v>
      </c>
      <c r="G6" s="5">
        <v>8</v>
      </c>
      <c r="H6" s="5">
        <v>104760</v>
      </c>
      <c r="J6" s="5" t="str">
        <f t="shared" si="0"/>
        <v>E005|Snehal Jadhav|Siddhi Rathod|Finance|Bachelor|Female|8|104760</v>
      </c>
    </row>
    <row r="7" spans="1:10" x14ac:dyDescent="0.3">
      <c r="A7" s="5" t="s">
        <v>31</v>
      </c>
      <c r="B7" s="5" t="s">
        <v>32</v>
      </c>
      <c r="C7" s="5" t="s">
        <v>33</v>
      </c>
      <c r="D7" s="5" t="s">
        <v>23</v>
      </c>
      <c r="E7" s="5" t="s">
        <v>12</v>
      </c>
      <c r="F7" s="5" t="s">
        <v>88</v>
      </c>
      <c r="G7" s="5">
        <v>19</v>
      </c>
      <c r="H7" s="5">
        <v>74462</v>
      </c>
      <c r="J7" s="5" t="str">
        <f t="shared" si="0"/>
        <v>E006|Nikita Pawar|Siddhi Kulkarni|HR|Bachelor|Female|19|74462</v>
      </c>
    </row>
    <row r="8" spans="1:10" x14ac:dyDescent="0.3">
      <c r="A8" s="5" t="s">
        <v>34</v>
      </c>
      <c r="B8" s="5" t="s">
        <v>35</v>
      </c>
      <c r="C8" s="5" t="s">
        <v>36</v>
      </c>
      <c r="D8" s="5" t="s">
        <v>23</v>
      </c>
      <c r="E8" s="5" t="s">
        <v>18</v>
      </c>
      <c r="F8" s="5" t="s">
        <v>88</v>
      </c>
      <c r="G8" s="5">
        <v>10</v>
      </c>
      <c r="H8" s="5">
        <v>90573</v>
      </c>
      <c r="J8" s="5" t="str">
        <f t="shared" si="0"/>
        <v>E007|Nikhil Rathod|Siddhi Pawar|HR|PhD|Female|10|90573</v>
      </c>
    </row>
    <row r="9" spans="1:10" x14ac:dyDescent="0.3">
      <c r="A9" s="5" t="s">
        <v>37</v>
      </c>
      <c r="B9" s="5" t="s">
        <v>38</v>
      </c>
      <c r="C9" s="5" t="s">
        <v>39</v>
      </c>
      <c r="D9" s="5" t="s">
        <v>40</v>
      </c>
      <c r="E9" s="5" t="s">
        <v>12</v>
      </c>
      <c r="F9" s="5" t="s">
        <v>88</v>
      </c>
      <c r="G9" s="5">
        <v>19</v>
      </c>
      <c r="H9" s="5">
        <v>67690</v>
      </c>
      <c r="J9" s="5" t="str">
        <f t="shared" si="0"/>
        <v>E008|Amol Gore|Ravi Rathod|Operations|Bachelor|Female|19|67690</v>
      </c>
    </row>
    <row r="10" spans="1:10" x14ac:dyDescent="0.3">
      <c r="A10" s="5" t="s">
        <v>41</v>
      </c>
      <c r="B10" s="5" t="s">
        <v>42</v>
      </c>
      <c r="C10" s="5" t="s">
        <v>43</v>
      </c>
      <c r="D10" s="5" t="s">
        <v>11</v>
      </c>
      <c r="E10" s="5" t="s">
        <v>44</v>
      </c>
      <c r="F10" s="5" t="s">
        <v>89</v>
      </c>
      <c r="G10" s="5">
        <v>8</v>
      </c>
      <c r="H10" s="5">
        <v>95724</v>
      </c>
      <c r="J10" s="5" t="str">
        <f t="shared" si="0"/>
        <v>E009|Jayesh Tambe|Sandeep Gore|Finance|Diploma|Male|8|95724</v>
      </c>
    </row>
    <row r="11" spans="1:10" x14ac:dyDescent="0.3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18</v>
      </c>
      <c r="F11" s="5" t="s">
        <v>88</v>
      </c>
      <c r="G11" s="5">
        <v>17</v>
      </c>
      <c r="H11" s="5">
        <v>64884</v>
      </c>
      <c r="J11" s="5" t="str">
        <f t="shared" si="0"/>
        <v>E010|Ishwar Mane|Vishal Patil|Marketing|PhD|Female|17|64884</v>
      </c>
    </row>
    <row r="12" spans="1:10" x14ac:dyDescent="0.3">
      <c r="A12" s="5" t="s">
        <v>49</v>
      </c>
      <c r="B12" s="5" t="s">
        <v>50</v>
      </c>
      <c r="C12" s="5" t="s">
        <v>51</v>
      </c>
      <c r="D12" s="5" t="s">
        <v>11</v>
      </c>
      <c r="E12" s="5" t="s">
        <v>18</v>
      </c>
      <c r="F12" s="5" t="s">
        <v>89</v>
      </c>
      <c r="G12" s="5">
        <v>15</v>
      </c>
      <c r="H12" s="5">
        <v>142125</v>
      </c>
      <c r="J12" s="5" t="str">
        <f t="shared" si="0"/>
        <v>E011|Tejas Joshi|Vishal Jadhav|Finance|PhD|Male|15|142125</v>
      </c>
    </row>
    <row r="13" spans="1:10" x14ac:dyDescent="0.3">
      <c r="A13" s="5" t="s">
        <v>52</v>
      </c>
      <c r="B13" s="5" t="s">
        <v>53</v>
      </c>
      <c r="C13" s="5" t="s">
        <v>54</v>
      </c>
      <c r="D13" s="5" t="s">
        <v>40</v>
      </c>
      <c r="E13" s="5" t="s">
        <v>18</v>
      </c>
      <c r="F13" s="5" t="s">
        <v>89</v>
      </c>
      <c r="G13" s="5">
        <v>3</v>
      </c>
      <c r="H13" s="5">
        <v>132435</v>
      </c>
      <c r="J13" s="5" t="str">
        <f t="shared" si="0"/>
        <v>E012|Deepak Jadhav|Ravi Sawant|Operations|PhD|Male|3|132435</v>
      </c>
    </row>
    <row r="14" spans="1:10" x14ac:dyDescent="0.3">
      <c r="A14" s="5" t="s">
        <v>55</v>
      </c>
      <c r="B14" s="5" t="s">
        <v>56</v>
      </c>
      <c r="C14" s="5" t="s">
        <v>57</v>
      </c>
      <c r="D14" s="5" t="s">
        <v>27</v>
      </c>
      <c r="E14" s="5" t="s">
        <v>18</v>
      </c>
      <c r="F14" s="5" t="s">
        <v>89</v>
      </c>
      <c r="G14" s="5">
        <v>10</v>
      </c>
      <c r="H14" s="5">
        <v>111948</v>
      </c>
      <c r="J14" s="5" t="str">
        <f t="shared" si="0"/>
        <v>E013|Madhavi Kadam|Tejas Patil|Sales|PhD|Male|10|111948</v>
      </c>
    </row>
    <row r="15" spans="1:10" x14ac:dyDescent="0.3">
      <c r="A15" s="5" t="s">
        <v>58</v>
      </c>
      <c r="B15" s="5" t="s">
        <v>59</v>
      </c>
      <c r="C15" s="5" t="s">
        <v>60</v>
      </c>
      <c r="D15" s="5" t="s">
        <v>17</v>
      </c>
      <c r="E15" s="5" t="s">
        <v>61</v>
      </c>
      <c r="F15" s="5" t="s">
        <v>88</v>
      </c>
      <c r="G15" s="5">
        <v>15</v>
      </c>
      <c r="H15" s="5">
        <v>106428</v>
      </c>
      <c r="J15" s="5" t="str">
        <f t="shared" si="0"/>
        <v>E014|Aparna Deshmukh|Ravi Kulkarni|Engineering|Master|Female|15|106428</v>
      </c>
    </row>
    <row r="16" spans="1:10" x14ac:dyDescent="0.3">
      <c r="A16" s="5" t="s">
        <v>62</v>
      </c>
      <c r="B16" s="5" t="s">
        <v>63</v>
      </c>
      <c r="C16" s="5" t="s">
        <v>33</v>
      </c>
      <c r="D16" s="5" t="s">
        <v>40</v>
      </c>
      <c r="E16" s="5" t="s">
        <v>18</v>
      </c>
      <c r="F16" s="5" t="s">
        <v>88</v>
      </c>
      <c r="G16" s="5">
        <v>20</v>
      </c>
      <c r="H16" s="5">
        <v>144998</v>
      </c>
      <c r="J16" s="5" t="str">
        <f t="shared" si="0"/>
        <v>E015|Aadesh Nimbalkar|Siddhi Kulkarni|Operations|PhD|Female|20|144998</v>
      </c>
    </row>
    <row r="17" spans="1:10" x14ac:dyDescent="0.3">
      <c r="A17" s="5" t="s">
        <v>64</v>
      </c>
      <c r="B17" s="5" t="s">
        <v>65</v>
      </c>
      <c r="C17" s="5" t="s">
        <v>66</v>
      </c>
      <c r="D17" s="5" t="s">
        <v>23</v>
      </c>
      <c r="E17" s="5" t="s">
        <v>44</v>
      </c>
      <c r="F17" s="5" t="s">
        <v>89</v>
      </c>
      <c r="G17" s="5">
        <v>14</v>
      </c>
      <c r="H17" s="5">
        <v>108776</v>
      </c>
      <c r="J17" s="5" t="str">
        <f t="shared" si="0"/>
        <v>E016|Aadesh Rathod|Ravi Shinde|HR|Diploma|Male|14|108776</v>
      </c>
    </row>
    <row r="18" spans="1:10" x14ac:dyDescent="0.3">
      <c r="A18" s="5" t="s">
        <v>67</v>
      </c>
      <c r="B18" s="5" t="s">
        <v>68</v>
      </c>
      <c r="C18" s="5" t="s">
        <v>57</v>
      </c>
      <c r="D18" s="5" t="s">
        <v>23</v>
      </c>
      <c r="E18" s="5" t="s">
        <v>18</v>
      </c>
      <c r="F18" s="5" t="s">
        <v>88</v>
      </c>
      <c r="G18" s="5">
        <v>6</v>
      </c>
      <c r="H18" s="5">
        <v>131725</v>
      </c>
      <c r="J18" s="5" t="str">
        <f t="shared" si="0"/>
        <v>E017|Gaurav Nimbalkar|Tejas Patil|HR|PhD|Female|6|131725</v>
      </c>
    </row>
    <row r="19" spans="1:10" x14ac:dyDescent="0.3">
      <c r="A19" s="5" t="s">
        <v>69</v>
      </c>
      <c r="B19" s="5" t="s">
        <v>70</v>
      </c>
      <c r="C19" s="5" t="s">
        <v>71</v>
      </c>
      <c r="D19" s="5" t="s">
        <v>11</v>
      </c>
      <c r="E19" s="5" t="s">
        <v>18</v>
      </c>
      <c r="F19" s="5" t="s">
        <v>89</v>
      </c>
      <c r="G19" s="5">
        <v>14</v>
      </c>
      <c r="H19" s="5">
        <v>60084</v>
      </c>
      <c r="J19" s="5" t="str">
        <f t="shared" si="0"/>
        <v>E018|Bhushan Thorat|Ravi Gore|Finance|PhD|Male|14|60084</v>
      </c>
    </row>
    <row r="20" spans="1:10" x14ac:dyDescent="0.3">
      <c r="A20" s="5" t="s">
        <v>72</v>
      </c>
      <c r="B20" s="5" t="s">
        <v>73</v>
      </c>
      <c r="C20" s="5" t="s">
        <v>74</v>
      </c>
      <c r="D20" s="5" t="s">
        <v>23</v>
      </c>
      <c r="E20" s="5" t="s">
        <v>12</v>
      </c>
      <c r="F20" s="5" t="s">
        <v>89</v>
      </c>
      <c r="G20" s="5">
        <v>7</v>
      </c>
      <c r="H20" s="5">
        <v>48815</v>
      </c>
      <c r="J20" s="5" t="str">
        <f t="shared" si="0"/>
        <v>E019|Ishwar Jadhav|Sandeep Jadhav|HR|Bachelor|Male|7|48815</v>
      </c>
    </row>
    <row r="21" spans="1:10" x14ac:dyDescent="0.3">
      <c r="A21" s="5" t="s">
        <v>75</v>
      </c>
      <c r="B21" s="5" t="s">
        <v>76</v>
      </c>
      <c r="C21" s="5" t="s">
        <v>77</v>
      </c>
      <c r="D21" s="5" t="s">
        <v>11</v>
      </c>
      <c r="E21" s="5" t="s">
        <v>18</v>
      </c>
      <c r="F21" s="5" t="s">
        <v>89</v>
      </c>
      <c r="G21" s="5">
        <v>17</v>
      </c>
      <c r="H21" s="5">
        <v>137304</v>
      </c>
      <c r="J21" s="5" t="str">
        <f t="shared" si="0"/>
        <v>E020|Sushma Sawant|Kunal Shinde|Finance|PhD|Male|17|137304</v>
      </c>
    </row>
    <row r="22" spans="1:10" x14ac:dyDescent="0.3">
      <c r="A22" s="5" t="s">
        <v>78</v>
      </c>
      <c r="B22" s="5" t="s">
        <v>79</v>
      </c>
      <c r="C22" s="5" t="s">
        <v>22</v>
      </c>
      <c r="D22" s="5" t="s">
        <v>23</v>
      </c>
      <c r="E22" s="5" t="s">
        <v>44</v>
      </c>
      <c r="F22" s="5" t="s">
        <v>88</v>
      </c>
      <c r="G22" s="5">
        <v>4</v>
      </c>
      <c r="H22" s="5">
        <v>99797</v>
      </c>
      <c r="J22" s="5" t="str">
        <f t="shared" si="0"/>
        <v>E021|Nikhil Deshmukh|Aparna Jadhav|HR|Diploma|Female|4|99797</v>
      </c>
    </row>
    <row r="23" spans="1:10" x14ac:dyDescent="0.3">
      <c r="A23" s="5" t="s">
        <v>80</v>
      </c>
      <c r="B23" s="5" t="s">
        <v>81</v>
      </c>
      <c r="C23" s="5" t="s">
        <v>82</v>
      </c>
      <c r="D23" s="5" t="s">
        <v>48</v>
      </c>
      <c r="E23" s="5" t="s">
        <v>18</v>
      </c>
      <c r="F23" s="5" t="s">
        <v>88</v>
      </c>
      <c r="G23" s="5">
        <v>12</v>
      </c>
      <c r="H23" s="5">
        <v>91106</v>
      </c>
      <c r="J23" s="5" t="str">
        <f t="shared" si="0"/>
        <v>E022|Ashwini Patil|Ravi Deshmukh|Marketing|PhD|Female|12|91106</v>
      </c>
    </row>
    <row r="24" spans="1:10" x14ac:dyDescent="0.3">
      <c r="A24" s="5" t="s">
        <v>83</v>
      </c>
      <c r="B24" s="5" t="s">
        <v>84</v>
      </c>
      <c r="C24" s="5" t="s">
        <v>85</v>
      </c>
      <c r="D24" s="5" t="s">
        <v>11</v>
      </c>
      <c r="E24" s="5" t="s">
        <v>18</v>
      </c>
      <c r="F24" s="5" t="s">
        <v>89</v>
      </c>
      <c r="G24" s="5">
        <v>17</v>
      </c>
      <c r="H24" s="5">
        <v>129379</v>
      </c>
      <c r="J24" s="5" t="str">
        <f t="shared" si="0"/>
        <v>E023|Sachin Thorat|Kunal Jadhav|Finance|PhD|Male|17|129379</v>
      </c>
    </row>
    <row r="25" spans="1:10" x14ac:dyDescent="0.3">
      <c r="A25" s="5" t="s">
        <v>86</v>
      </c>
      <c r="B25" s="5" t="s">
        <v>87</v>
      </c>
      <c r="C25" s="5" t="s">
        <v>59</v>
      </c>
      <c r="D25" s="5" t="s">
        <v>40</v>
      </c>
      <c r="E25" s="5" t="s">
        <v>44</v>
      </c>
      <c r="F25" s="5" t="s">
        <v>89</v>
      </c>
      <c r="G25" s="5">
        <v>19</v>
      </c>
      <c r="H25" s="5">
        <v>54723</v>
      </c>
      <c r="J25" s="5" t="str">
        <f t="shared" si="0"/>
        <v>E024|Nikhil Mane|Aparna Deshmukh|Operations|Diploma|Male|19|54723</v>
      </c>
    </row>
    <row r="26" spans="1:10" x14ac:dyDescent="0.3">
      <c r="A26" s="5" t="s">
        <v>90</v>
      </c>
      <c r="B26" s="5" t="s">
        <v>91</v>
      </c>
      <c r="C26" s="5" t="s">
        <v>92</v>
      </c>
      <c r="D26" s="5" t="s">
        <v>48</v>
      </c>
      <c r="E26" s="5" t="s">
        <v>12</v>
      </c>
      <c r="F26" s="5" t="s">
        <v>89</v>
      </c>
      <c r="G26" s="5">
        <v>19</v>
      </c>
      <c r="H26" s="5">
        <v>148721</v>
      </c>
      <c r="J26" s="5" t="str">
        <f t="shared" si="0"/>
        <v>E025|Ishwar Deshmukh|Tejas Kulkarni|Marketing|Bachelor|Male|19|148721</v>
      </c>
    </row>
    <row r="27" spans="1:10" x14ac:dyDescent="0.3">
      <c r="A27" s="5" t="s">
        <v>93</v>
      </c>
      <c r="B27" s="5" t="s">
        <v>94</v>
      </c>
      <c r="C27" s="5" t="s">
        <v>95</v>
      </c>
      <c r="D27" s="5" t="s">
        <v>23</v>
      </c>
      <c r="E27" s="5" t="s">
        <v>61</v>
      </c>
      <c r="F27" s="5" t="s">
        <v>89</v>
      </c>
      <c r="G27" s="5">
        <v>15</v>
      </c>
      <c r="H27" s="5">
        <v>62799</v>
      </c>
      <c r="J27" s="5" t="str">
        <f t="shared" si="0"/>
        <v>E026|Dinesh Gore|Shubham Kulkarni|HR|Master|Male|15|62799</v>
      </c>
    </row>
    <row r="28" spans="1:10" x14ac:dyDescent="0.3">
      <c r="A28" s="5" t="s">
        <v>96</v>
      </c>
      <c r="B28" s="5" t="s">
        <v>97</v>
      </c>
      <c r="C28" s="5" t="s">
        <v>98</v>
      </c>
      <c r="D28" s="5" t="s">
        <v>23</v>
      </c>
      <c r="E28" s="5" t="s">
        <v>18</v>
      </c>
      <c r="F28" s="5" t="s">
        <v>89</v>
      </c>
      <c r="G28" s="5">
        <v>20</v>
      </c>
      <c r="H28" s="5">
        <v>117832</v>
      </c>
      <c r="J28" s="5" t="str">
        <f t="shared" si="0"/>
        <v>E027|Gaurav Thorat|Aparna Shinde|HR|PhD|Male|20|117832</v>
      </c>
    </row>
    <row r="29" spans="1:10" x14ac:dyDescent="0.3">
      <c r="A29" s="5" t="s">
        <v>99</v>
      </c>
      <c r="B29" s="5" t="s">
        <v>100</v>
      </c>
      <c r="C29" s="5" t="s">
        <v>101</v>
      </c>
      <c r="D29" s="5" t="s">
        <v>40</v>
      </c>
      <c r="E29" s="5" t="s">
        <v>12</v>
      </c>
      <c r="F29" s="5" t="s">
        <v>88</v>
      </c>
      <c r="G29" s="5">
        <v>20</v>
      </c>
      <c r="H29" s="5">
        <v>131791</v>
      </c>
      <c r="J29" s="5" t="str">
        <f t="shared" si="0"/>
        <v>E028|Bhushan Sawant|Aparna Sawant|Operations|Bachelor|Female|20|131791</v>
      </c>
    </row>
    <row r="30" spans="1:10" x14ac:dyDescent="0.3">
      <c r="A30" s="5" t="s">
        <v>102</v>
      </c>
      <c r="B30" s="5" t="s">
        <v>100</v>
      </c>
      <c r="C30" s="5" t="s">
        <v>103</v>
      </c>
      <c r="D30" s="5" t="s">
        <v>17</v>
      </c>
      <c r="E30" s="5" t="s">
        <v>18</v>
      </c>
      <c r="F30" s="5" t="s">
        <v>88</v>
      </c>
      <c r="G30" s="5">
        <v>10</v>
      </c>
      <c r="H30" s="5">
        <v>140489</v>
      </c>
      <c r="J30" s="5" t="str">
        <f t="shared" si="0"/>
        <v>E029|Bhushan Sawant|Rajesh Patil|Engineering|PhD|Female|10|140489</v>
      </c>
    </row>
    <row r="31" spans="1:10" x14ac:dyDescent="0.3">
      <c r="A31" s="5" t="s">
        <v>104</v>
      </c>
      <c r="B31" s="5" t="s">
        <v>105</v>
      </c>
      <c r="C31" s="5" t="s">
        <v>106</v>
      </c>
      <c r="D31" s="5" t="s">
        <v>27</v>
      </c>
      <c r="E31" s="5" t="s">
        <v>18</v>
      </c>
      <c r="F31" s="5" t="s">
        <v>89</v>
      </c>
      <c r="G31" s="5">
        <v>16</v>
      </c>
      <c r="H31" s="5">
        <v>106064</v>
      </c>
      <c r="J31" s="5" t="str">
        <f t="shared" si="0"/>
        <v>E030|Swati Sawant|Siddhi Shinde|Sales|PhD|Male|16|106064</v>
      </c>
    </row>
    <row r="32" spans="1:10" x14ac:dyDescent="0.3">
      <c r="A32" s="5" t="s">
        <v>107</v>
      </c>
      <c r="B32" s="5" t="s">
        <v>108</v>
      </c>
      <c r="C32" s="5" t="s">
        <v>109</v>
      </c>
      <c r="D32" s="5" t="s">
        <v>17</v>
      </c>
      <c r="E32" s="5" t="s">
        <v>18</v>
      </c>
      <c r="F32" s="5" t="s">
        <v>89</v>
      </c>
      <c r="G32" s="5">
        <v>12</v>
      </c>
      <c r="H32" s="5">
        <v>104444</v>
      </c>
      <c r="J32" s="5" t="str">
        <f t="shared" si="0"/>
        <v>E031|Shubham Deshmukh|Rajesh Rathod|Engineering|PhD|Male|12|104444</v>
      </c>
    </row>
    <row r="33" spans="1:10" x14ac:dyDescent="0.3">
      <c r="A33" s="5" t="s">
        <v>110</v>
      </c>
      <c r="B33" s="5" t="s">
        <v>25</v>
      </c>
      <c r="C33" s="5" t="s">
        <v>85</v>
      </c>
      <c r="D33" s="5" t="s">
        <v>40</v>
      </c>
      <c r="E33" s="5" t="s">
        <v>61</v>
      </c>
      <c r="F33" s="5" t="s">
        <v>89</v>
      </c>
      <c r="G33" s="5">
        <v>15</v>
      </c>
      <c r="H33" s="5">
        <v>106961</v>
      </c>
      <c r="J33" s="5" t="str">
        <f t="shared" si="0"/>
        <v>E032|Shweta Pawar|Kunal Jadhav|Operations|Master|Male|15|106961</v>
      </c>
    </row>
    <row r="34" spans="1:10" x14ac:dyDescent="0.3">
      <c r="A34" s="5" t="s">
        <v>111</v>
      </c>
      <c r="B34" s="5" t="s">
        <v>112</v>
      </c>
      <c r="C34" s="5" t="s">
        <v>113</v>
      </c>
      <c r="D34" s="5" t="s">
        <v>17</v>
      </c>
      <c r="E34" s="5" t="s">
        <v>61</v>
      </c>
      <c r="F34" s="5" t="s">
        <v>88</v>
      </c>
      <c r="G34" s="5">
        <v>20</v>
      </c>
      <c r="H34" s="5">
        <v>83172</v>
      </c>
      <c r="J34" s="5" t="str">
        <f t="shared" si="0"/>
        <v>E033|Shraddha Tambe|Rajesh Sawant|Engineering|Master|Female|20|83172</v>
      </c>
    </row>
    <row r="35" spans="1:10" x14ac:dyDescent="0.3">
      <c r="A35" s="5" t="s">
        <v>114</v>
      </c>
      <c r="B35" s="5" t="s">
        <v>115</v>
      </c>
      <c r="C35" s="5" t="s">
        <v>116</v>
      </c>
      <c r="D35" s="5" t="s">
        <v>40</v>
      </c>
      <c r="E35" s="5" t="s">
        <v>61</v>
      </c>
      <c r="F35" s="5" t="s">
        <v>88</v>
      </c>
      <c r="G35" s="5">
        <v>4</v>
      </c>
      <c r="H35" s="5">
        <v>78326</v>
      </c>
      <c r="J35" s="5" t="str">
        <f t="shared" si="0"/>
        <v>E034|Jayesh Bhosale|Sandeep Bhosale|Operations|Master|Female|4|78326</v>
      </c>
    </row>
    <row r="36" spans="1:10" x14ac:dyDescent="0.3">
      <c r="A36" s="5" t="s">
        <v>117</v>
      </c>
      <c r="B36" s="5" t="s">
        <v>118</v>
      </c>
      <c r="C36" s="5" t="s">
        <v>119</v>
      </c>
      <c r="D36" s="5" t="s">
        <v>48</v>
      </c>
      <c r="E36" s="5" t="s">
        <v>44</v>
      </c>
      <c r="F36" s="5" t="s">
        <v>89</v>
      </c>
      <c r="G36" s="5">
        <v>19</v>
      </c>
      <c r="H36" s="5">
        <v>118586</v>
      </c>
      <c r="J36" s="5" t="str">
        <f t="shared" si="0"/>
        <v>E035|Madhavi Bhagat|Tejas Gore|Marketing|Diploma|Male|19|118586</v>
      </c>
    </row>
    <row r="37" spans="1:10" x14ac:dyDescent="0.3">
      <c r="A37" s="5" t="s">
        <v>120</v>
      </c>
      <c r="B37" s="5" t="s">
        <v>121</v>
      </c>
      <c r="C37" s="5" t="s">
        <v>122</v>
      </c>
      <c r="D37" s="5" t="s">
        <v>48</v>
      </c>
      <c r="E37" s="5" t="s">
        <v>61</v>
      </c>
      <c r="F37" s="5" t="s">
        <v>89</v>
      </c>
      <c r="G37" s="5">
        <v>2</v>
      </c>
      <c r="H37" s="5">
        <v>123023</v>
      </c>
      <c r="J37" s="5" t="str">
        <f t="shared" si="0"/>
        <v>E036|Harshada Bhagat|Rajesh Pawar|Marketing|Master|Male|2|123023</v>
      </c>
    </row>
    <row r="38" spans="1:10" x14ac:dyDescent="0.3">
      <c r="A38" s="5" t="s">
        <v>123</v>
      </c>
      <c r="B38" s="5" t="s">
        <v>124</v>
      </c>
      <c r="C38" s="5" t="s">
        <v>125</v>
      </c>
      <c r="D38" s="5" t="s">
        <v>27</v>
      </c>
      <c r="E38" s="5" t="s">
        <v>44</v>
      </c>
      <c r="F38" s="5" t="s">
        <v>89</v>
      </c>
      <c r="G38" s="5">
        <v>12</v>
      </c>
      <c r="H38" s="5">
        <v>76671</v>
      </c>
      <c r="J38" s="5" t="str">
        <f t="shared" si="0"/>
        <v>E037|Rohit Tambe|Neelam Jadhav|Sales|Diploma|Male|12|76671</v>
      </c>
    </row>
    <row r="39" spans="1:10" x14ac:dyDescent="0.3">
      <c r="A39" s="5" t="s">
        <v>126</v>
      </c>
      <c r="B39" s="5" t="s">
        <v>127</v>
      </c>
      <c r="C39" s="5" t="s">
        <v>128</v>
      </c>
      <c r="D39" s="5" t="s">
        <v>27</v>
      </c>
      <c r="E39" s="5" t="s">
        <v>18</v>
      </c>
      <c r="F39" s="5" t="s">
        <v>88</v>
      </c>
      <c r="G39" s="5">
        <v>19</v>
      </c>
      <c r="H39" s="5">
        <v>72081</v>
      </c>
      <c r="J39" s="5" t="str">
        <f t="shared" si="0"/>
        <v>E038|Manisha Sawant|Ravi Pawar|Sales|PhD|Female|19|72081</v>
      </c>
    </row>
    <row r="40" spans="1:10" x14ac:dyDescent="0.3">
      <c r="A40" s="5" t="s">
        <v>129</v>
      </c>
      <c r="B40" s="5" t="s">
        <v>130</v>
      </c>
      <c r="C40" s="5" t="s">
        <v>131</v>
      </c>
      <c r="D40" s="5" t="s">
        <v>11</v>
      </c>
      <c r="E40" s="5" t="s">
        <v>12</v>
      </c>
      <c r="F40" s="5" t="s">
        <v>89</v>
      </c>
      <c r="G40" s="5">
        <v>13</v>
      </c>
      <c r="H40" s="5">
        <v>136748</v>
      </c>
      <c r="J40" s="5" t="str">
        <f t="shared" si="0"/>
        <v>E039|Komal Bhosale|Aparna Gore|Finance|Bachelor|Male|13|136748</v>
      </c>
    </row>
    <row r="41" spans="1:10" x14ac:dyDescent="0.3">
      <c r="A41" s="5" t="s">
        <v>132</v>
      </c>
      <c r="B41" s="5" t="s">
        <v>133</v>
      </c>
      <c r="C41" s="5" t="s">
        <v>134</v>
      </c>
      <c r="D41" s="5" t="s">
        <v>11</v>
      </c>
      <c r="E41" s="5" t="s">
        <v>44</v>
      </c>
      <c r="F41" s="5" t="s">
        <v>88</v>
      </c>
      <c r="G41" s="5">
        <v>16</v>
      </c>
      <c r="H41" s="5">
        <v>91583</v>
      </c>
      <c r="J41" s="5" t="str">
        <f t="shared" si="0"/>
        <v>E040|Deepak Thorat|Ravi Bhosale|Finance|Diploma|Female|16|91583</v>
      </c>
    </row>
    <row r="42" spans="1:10" x14ac:dyDescent="0.3">
      <c r="A42" s="5" t="s">
        <v>135</v>
      </c>
      <c r="B42" s="5" t="s">
        <v>136</v>
      </c>
      <c r="C42" s="5" t="s">
        <v>137</v>
      </c>
      <c r="D42" s="5" t="s">
        <v>11</v>
      </c>
      <c r="E42" s="5" t="s">
        <v>61</v>
      </c>
      <c r="F42" s="5" t="s">
        <v>88</v>
      </c>
      <c r="G42" s="5">
        <v>7</v>
      </c>
      <c r="H42" s="5">
        <v>137305</v>
      </c>
      <c r="J42" s="5" t="str">
        <f t="shared" si="0"/>
        <v>E041|Sanjay Chavan|Rajesh Kulkarni|Finance|Master|Female|7|137305</v>
      </c>
    </row>
    <row r="43" spans="1:10" x14ac:dyDescent="0.3">
      <c r="A43" s="5" t="s">
        <v>138</v>
      </c>
      <c r="B43" s="5" t="s">
        <v>139</v>
      </c>
      <c r="C43" s="5" t="s">
        <v>140</v>
      </c>
      <c r="D43" s="5" t="s">
        <v>27</v>
      </c>
      <c r="E43" s="5" t="s">
        <v>12</v>
      </c>
      <c r="F43" s="5" t="s">
        <v>88</v>
      </c>
      <c r="G43" s="5">
        <v>11</v>
      </c>
      <c r="H43" s="5">
        <v>78341</v>
      </c>
      <c r="J43" s="5" t="str">
        <f t="shared" si="0"/>
        <v>E042|Shruti Patil|Kunal Deshmukh|Sales|Bachelor|Female|11|78341</v>
      </c>
    </row>
    <row r="44" spans="1:10" x14ac:dyDescent="0.3">
      <c r="A44" s="5" t="s">
        <v>141</v>
      </c>
      <c r="B44" s="5" t="s">
        <v>142</v>
      </c>
      <c r="C44" s="5" t="s">
        <v>143</v>
      </c>
      <c r="D44" s="5" t="s">
        <v>48</v>
      </c>
      <c r="E44" s="5" t="s">
        <v>61</v>
      </c>
      <c r="F44" s="5" t="s">
        <v>89</v>
      </c>
      <c r="G44" s="5">
        <v>8</v>
      </c>
      <c r="H44" s="5">
        <v>79324</v>
      </c>
      <c r="J44" s="5" t="str">
        <f t="shared" si="0"/>
        <v>E043|Tejas Thorat|Sandeep Rathod|Marketing|Master|Male|8|79324</v>
      </c>
    </row>
    <row r="45" spans="1:10" x14ac:dyDescent="0.3">
      <c r="A45" s="5" t="s">
        <v>144</v>
      </c>
      <c r="B45" s="5" t="s">
        <v>145</v>
      </c>
      <c r="C45" s="5" t="s">
        <v>43</v>
      </c>
      <c r="D45" s="5" t="s">
        <v>27</v>
      </c>
      <c r="E45" s="5" t="s">
        <v>12</v>
      </c>
      <c r="F45" s="5" t="s">
        <v>89</v>
      </c>
      <c r="G45" s="5">
        <v>11</v>
      </c>
      <c r="H45" s="5">
        <v>47852</v>
      </c>
      <c r="J45" s="5" t="str">
        <f t="shared" si="0"/>
        <v>E044|Harshada Rathod|Sandeep Gore|Sales|Bachelor|Male|11|47852</v>
      </c>
    </row>
    <row r="46" spans="1:10" x14ac:dyDescent="0.3">
      <c r="A46" s="5" t="s">
        <v>146</v>
      </c>
      <c r="B46" s="5" t="s">
        <v>147</v>
      </c>
      <c r="C46" s="5" t="s">
        <v>148</v>
      </c>
      <c r="D46" s="5" t="s">
        <v>27</v>
      </c>
      <c r="E46" s="5" t="s">
        <v>18</v>
      </c>
      <c r="F46" s="5" t="s">
        <v>89</v>
      </c>
      <c r="G46" s="5">
        <v>9</v>
      </c>
      <c r="H46" s="5">
        <v>117549</v>
      </c>
      <c r="J46" s="5" t="str">
        <f t="shared" si="0"/>
        <v>E045|Shraddha Gore|Tejas Deshmukh|Sales|PhD|Male|9|117549</v>
      </c>
    </row>
    <row r="47" spans="1:10" x14ac:dyDescent="0.3">
      <c r="A47" s="5" t="s">
        <v>149</v>
      </c>
      <c r="B47" s="5" t="s">
        <v>150</v>
      </c>
      <c r="C47" s="5" t="s">
        <v>151</v>
      </c>
      <c r="D47" s="5" t="s">
        <v>48</v>
      </c>
      <c r="E47" s="5" t="s">
        <v>61</v>
      </c>
      <c r="F47" s="5" t="s">
        <v>88</v>
      </c>
      <c r="G47" s="5">
        <v>15</v>
      </c>
      <c r="H47" s="5">
        <v>145308</v>
      </c>
      <c r="J47" s="5" t="str">
        <f t="shared" si="0"/>
        <v>E046|Rajiv Kulkarni|Sandeep Deshmukh|Marketing|Master|Female|15|145308</v>
      </c>
    </row>
    <row r="48" spans="1:10" x14ac:dyDescent="0.3">
      <c r="A48" s="5" t="s">
        <v>152</v>
      </c>
      <c r="B48" s="5" t="s">
        <v>36</v>
      </c>
      <c r="C48" s="5" t="s">
        <v>153</v>
      </c>
      <c r="D48" s="5" t="s">
        <v>27</v>
      </c>
      <c r="E48" s="5" t="s">
        <v>44</v>
      </c>
      <c r="F48" s="5" t="s">
        <v>89</v>
      </c>
      <c r="G48" s="5">
        <v>9</v>
      </c>
      <c r="H48" s="5">
        <v>67663</v>
      </c>
      <c r="J48" s="5" t="str">
        <f t="shared" si="0"/>
        <v>E047|Siddhi Pawar|Vishal Rathod|Sales|Diploma|Male|9|67663</v>
      </c>
    </row>
    <row r="49" spans="1:10" x14ac:dyDescent="0.3">
      <c r="A49" s="5" t="s">
        <v>154</v>
      </c>
      <c r="B49" s="5" t="s">
        <v>155</v>
      </c>
      <c r="C49" s="5" t="s">
        <v>71</v>
      </c>
      <c r="D49" s="5" t="s">
        <v>27</v>
      </c>
      <c r="E49" s="5" t="s">
        <v>18</v>
      </c>
      <c r="F49" s="5" t="s">
        <v>88</v>
      </c>
      <c r="G49" s="5">
        <v>13</v>
      </c>
      <c r="H49" s="5">
        <v>109087</v>
      </c>
      <c r="J49" s="5" t="str">
        <f t="shared" si="0"/>
        <v>E048|Sachin Deshmukh|Ravi Gore|Sales|PhD|Female|13|109087</v>
      </c>
    </row>
    <row r="50" spans="1:10" x14ac:dyDescent="0.3">
      <c r="A50" s="5" t="s">
        <v>156</v>
      </c>
      <c r="B50" s="5" t="s">
        <v>157</v>
      </c>
      <c r="C50" s="5" t="s">
        <v>10</v>
      </c>
      <c r="D50" s="5" t="s">
        <v>48</v>
      </c>
      <c r="E50" s="5" t="s">
        <v>12</v>
      </c>
      <c r="F50" s="5" t="s">
        <v>89</v>
      </c>
      <c r="G50" s="5">
        <v>17</v>
      </c>
      <c r="H50" s="5">
        <v>73492</v>
      </c>
      <c r="J50" s="5" t="str">
        <f t="shared" si="0"/>
        <v>E049|Yogesh Gajbhiye|Vishal Bhosale|Marketing|Bachelor|Male|17|73492</v>
      </c>
    </row>
    <row r="51" spans="1:10" x14ac:dyDescent="0.3">
      <c r="A51" s="5" t="s">
        <v>158</v>
      </c>
      <c r="B51" s="5" t="s">
        <v>159</v>
      </c>
      <c r="C51" s="5" t="s">
        <v>160</v>
      </c>
      <c r="D51" s="5" t="s">
        <v>48</v>
      </c>
      <c r="E51" s="5" t="s">
        <v>12</v>
      </c>
      <c r="F51" s="5" t="s">
        <v>88</v>
      </c>
      <c r="G51" s="5">
        <v>11</v>
      </c>
      <c r="H51" s="5">
        <v>116781</v>
      </c>
      <c r="J51" s="5" t="str">
        <f t="shared" si="0"/>
        <v>E050|Manisha Jadhav|Sandeep Shinde|Marketing|Bachelor|Female|11|116781</v>
      </c>
    </row>
    <row r="52" spans="1:10" x14ac:dyDescent="0.3">
      <c r="A52" s="5" t="s">
        <v>161</v>
      </c>
      <c r="B52" s="5" t="s">
        <v>162</v>
      </c>
      <c r="C52" s="5" t="s">
        <v>163</v>
      </c>
      <c r="D52" s="5" t="s">
        <v>48</v>
      </c>
      <c r="E52" s="5" t="s">
        <v>44</v>
      </c>
      <c r="F52" s="5" t="s">
        <v>89</v>
      </c>
      <c r="G52" s="5">
        <v>2</v>
      </c>
      <c r="H52" s="5">
        <v>44104</v>
      </c>
      <c r="J52" s="5" t="str">
        <f t="shared" si="0"/>
        <v>E051|Dinesh Sawant|Tejas Rathod|Marketing|Diploma|Male|2|44104</v>
      </c>
    </row>
    <row r="53" spans="1:10" x14ac:dyDescent="0.3">
      <c r="A53" s="5" t="s">
        <v>164</v>
      </c>
      <c r="B53" s="5" t="s">
        <v>165</v>
      </c>
      <c r="C53" s="5" t="s">
        <v>166</v>
      </c>
      <c r="D53" s="5" t="s">
        <v>27</v>
      </c>
      <c r="E53" s="5" t="s">
        <v>18</v>
      </c>
      <c r="F53" s="5" t="s">
        <v>88</v>
      </c>
      <c r="G53" s="5">
        <v>16</v>
      </c>
      <c r="H53" s="5">
        <v>54583</v>
      </c>
      <c r="J53" s="5" t="str">
        <f t="shared" si="0"/>
        <v>E052|Vandana Jadhav|Kunal Sawant|Sales|PhD|Female|16|54583</v>
      </c>
    </row>
    <row r="54" spans="1:10" x14ac:dyDescent="0.3">
      <c r="A54" s="5" t="s">
        <v>167</v>
      </c>
      <c r="B54" s="5" t="s">
        <v>168</v>
      </c>
      <c r="C54" s="5" t="s">
        <v>106</v>
      </c>
      <c r="D54" s="5" t="s">
        <v>48</v>
      </c>
      <c r="E54" s="5" t="s">
        <v>12</v>
      </c>
      <c r="F54" s="5" t="s">
        <v>89</v>
      </c>
      <c r="G54" s="5">
        <v>16</v>
      </c>
      <c r="H54" s="5">
        <v>49609</v>
      </c>
      <c r="J54" s="5" t="str">
        <f t="shared" si="0"/>
        <v>E053|Ishwar Rathod|Siddhi Shinde|Marketing|Bachelor|Male|16|49609</v>
      </c>
    </row>
    <row r="55" spans="1:10" x14ac:dyDescent="0.3">
      <c r="A55" s="5" t="s">
        <v>169</v>
      </c>
      <c r="B55" s="5" t="s">
        <v>170</v>
      </c>
      <c r="C55" s="5" t="s">
        <v>26</v>
      </c>
      <c r="D55" s="5" t="s">
        <v>40</v>
      </c>
      <c r="E55" s="5" t="s">
        <v>18</v>
      </c>
      <c r="F55" s="5" t="s">
        <v>89</v>
      </c>
      <c r="G55" s="5">
        <v>20</v>
      </c>
      <c r="H55" s="5">
        <v>46520</v>
      </c>
      <c r="J55" s="5" t="str">
        <f t="shared" si="0"/>
        <v>E054|Bhushan Tambe|Siddhi Bhosale|Operations|PhD|Male|20|46520</v>
      </c>
    </row>
    <row r="56" spans="1:10" x14ac:dyDescent="0.3">
      <c r="A56" s="5" t="s">
        <v>171</v>
      </c>
      <c r="B56" s="5" t="s">
        <v>172</v>
      </c>
      <c r="C56" s="5" t="s">
        <v>173</v>
      </c>
      <c r="D56" s="5" t="s">
        <v>40</v>
      </c>
      <c r="E56" s="5" t="s">
        <v>61</v>
      </c>
      <c r="F56" s="5" t="s">
        <v>88</v>
      </c>
      <c r="G56" s="5">
        <v>7</v>
      </c>
      <c r="H56" s="5">
        <v>87837</v>
      </c>
      <c r="J56" s="5" t="str">
        <f t="shared" si="0"/>
        <v>E055|Shweta Nimbalkar|Aparna Rathod|Operations|Master|Female|7|87837</v>
      </c>
    </row>
    <row r="57" spans="1:10" x14ac:dyDescent="0.3">
      <c r="A57" s="5" t="s">
        <v>174</v>
      </c>
      <c r="B57" s="5" t="s">
        <v>175</v>
      </c>
      <c r="C57" s="5" t="s">
        <v>109</v>
      </c>
      <c r="D57" s="5" t="s">
        <v>27</v>
      </c>
      <c r="E57" s="5" t="s">
        <v>12</v>
      </c>
      <c r="F57" s="5" t="s">
        <v>88</v>
      </c>
      <c r="G57" s="5">
        <v>17</v>
      </c>
      <c r="H57" s="5">
        <v>40012</v>
      </c>
      <c r="J57" s="5" t="str">
        <f t="shared" si="0"/>
        <v>E056|Swati Kulkarni|Rajesh Rathod|Sales|Bachelor|Female|17|40012</v>
      </c>
    </row>
    <row r="58" spans="1:10" x14ac:dyDescent="0.3">
      <c r="A58" s="5" t="s">
        <v>176</v>
      </c>
      <c r="B58" s="5" t="s">
        <v>177</v>
      </c>
      <c r="C58" s="5" t="s">
        <v>92</v>
      </c>
      <c r="D58" s="5" t="s">
        <v>40</v>
      </c>
      <c r="E58" s="5" t="s">
        <v>18</v>
      </c>
      <c r="F58" s="5" t="s">
        <v>88</v>
      </c>
      <c r="G58" s="5">
        <v>10</v>
      </c>
      <c r="H58" s="5">
        <v>100737</v>
      </c>
      <c r="J58" s="5" t="str">
        <f t="shared" si="0"/>
        <v>E057|Vishal Chavan|Tejas Kulkarni|Operations|PhD|Female|10|100737</v>
      </c>
    </row>
    <row r="59" spans="1:10" x14ac:dyDescent="0.3">
      <c r="A59" s="5" t="s">
        <v>178</v>
      </c>
      <c r="B59" s="5" t="s">
        <v>179</v>
      </c>
      <c r="C59" s="5" t="s">
        <v>180</v>
      </c>
      <c r="D59" s="5" t="s">
        <v>27</v>
      </c>
      <c r="E59" s="5" t="s">
        <v>44</v>
      </c>
      <c r="F59" s="5" t="s">
        <v>89</v>
      </c>
      <c r="G59" s="5">
        <v>16</v>
      </c>
      <c r="H59" s="5">
        <v>99616</v>
      </c>
      <c r="J59" s="5" t="str">
        <f t="shared" si="0"/>
        <v>E058|Rupal Thorat|Neelam Deshmukh|Sales|Diploma|Male|16|99616</v>
      </c>
    </row>
    <row r="60" spans="1:10" x14ac:dyDescent="0.3">
      <c r="A60" s="5" t="s">
        <v>181</v>
      </c>
      <c r="B60" s="5" t="s">
        <v>182</v>
      </c>
      <c r="C60" s="5" t="s">
        <v>36</v>
      </c>
      <c r="D60" s="5" t="s">
        <v>48</v>
      </c>
      <c r="E60" s="5" t="s">
        <v>44</v>
      </c>
      <c r="F60" s="5" t="s">
        <v>89</v>
      </c>
      <c r="G60" s="5">
        <v>9</v>
      </c>
      <c r="H60" s="5">
        <v>74441</v>
      </c>
      <c r="J60" s="5" t="str">
        <f t="shared" si="0"/>
        <v>E059|Kunal Tambe|Siddhi Pawar|Marketing|Diploma|Male|9|74441</v>
      </c>
    </row>
    <row r="61" spans="1:10" x14ac:dyDescent="0.3">
      <c r="A61" s="5" t="s">
        <v>183</v>
      </c>
      <c r="B61" s="5" t="s">
        <v>184</v>
      </c>
      <c r="C61" s="5" t="s">
        <v>185</v>
      </c>
      <c r="D61" s="5" t="s">
        <v>48</v>
      </c>
      <c r="E61" s="5" t="s">
        <v>18</v>
      </c>
      <c r="F61" s="5" t="s">
        <v>89</v>
      </c>
      <c r="G61" s="5">
        <v>4</v>
      </c>
      <c r="H61" s="5">
        <v>132909</v>
      </c>
      <c r="J61" s="5" t="str">
        <f t="shared" si="0"/>
        <v>E060|Bhushan Kulkarni|Siddhi Deshmukh|Marketing|PhD|Male|4|132909</v>
      </c>
    </row>
    <row r="62" spans="1:10" x14ac:dyDescent="0.3">
      <c r="A62" s="5" t="s">
        <v>186</v>
      </c>
      <c r="B62" s="5" t="s">
        <v>187</v>
      </c>
      <c r="C62" s="5" t="s">
        <v>180</v>
      </c>
      <c r="D62" s="5" t="s">
        <v>17</v>
      </c>
      <c r="E62" s="5" t="s">
        <v>44</v>
      </c>
      <c r="F62" s="5" t="s">
        <v>89</v>
      </c>
      <c r="G62" s="5">
        <v>18</v>
      </c>
      <c r="H62" s="5">
        <v>117625</v>
      </c>
      <c r="J62" s="5" t="str">
        <f t="shared" si="0"/>
        <v>E061|Dinesh Kadam|Neelam Deshmukh|Engineering|Diploma|Male|18|117625</v>
      </c>
    </row>
    <row r="63" spans="1:10" x14ac:dyDescent="0.3">
      <c r="A63" s="5" t="s">
        <v>188</v>
      </c>
      <c r="B63" s="5" t="s">
        <v>189</v>
      </c>
      <c r="C63" s="5" t="s">
        <v>151</v>
      </c>
      <c r="D63" s="5" t="s">
        <v>40</v>
      </c>
      <c r="E63" s="5" t="s">
        <v>61</v>
      </c>
      <c r="F63" s="5" t="s">
        <v>88</v>
      </c>
      <c r="G63" s="5">
        <v>10</v>
      </c>
      <c r="H63" s="5">
        <v>106332</v>
      </c>
      <c r="J63" s="5" t="str">
        <f t="shared" si="0"/>
        <v>E062|Aishwarya Bhosale|Sandeep Deshmukh|Operations|Master|Female|10|106332</v>
      </c>
    </row>
    <row r="64" spans="1:10" x14ac:dyDescent="0.3">
      <c r="A64" s="5" t="s">
        <v>190</v>
      </c>
      <c r="B64" s="5" t="s">
        <v>131</v>
      </c>
      <c r="C64" s="5" t="s">
        <v>191</v>
      </c>
      <c r="D64" s="5" t="s">
        <v>11</v>
      </c>
      <c r="E64" s="5" t="s">
        <v>18</v>
      </c>
      <c r="F64" s="5" t="s">
        <v>89</v>
      </c>
      <c r="G64" s="5">
        <v>15</v>
      </c>
      <c r="H64" s="5">
        <v>131724</v>
      </c>
      <c r="J64" s="5" t="str">
        <f t="shared" si="0"/>
        <v>E063|Aparna Gore|Aparna Bhosale|Finance|PhD|Male|15|131724</v>
      </c>
    </row>
    <row r="65" spans="1:10" x14ac:dyDescent="0.3">
      <c r="A65" s="5" t="s">
        <v>192</v>
      </c>
      <c r="B65" s="5" t="s">
        <v>193</v>
      </c>
      <c r="C65" s="5" t="s">
        <v>194</v>
      </c>
      <c r="D65" s="5" t="s">
        <v>11</v>
      </c>
      <c r="E65" s="5" t="s">
        <v>44</v>
      </c>
      <c r="F65" s="5" t="s">
        <v>89</v>
      </c>
      <c r="G65" s="5">
        <v>14</v>
      </c>
      <c r="H65" s="5">
        <v>115738</v>
      </c>
      <c r="J65" s="5" t="str">
        <f t="shared" si="0"/>
        <v>E064|Vinay Jadhav|Sandeep Sawant|Finance|Diploma|Male|14|115738</v>
      </c>
    </row>
    <row r="66" spans="1:10" x14ac:dyDescent="0.3">
      <c r="A66" s="5" t="s">
        <v>195</v>
      </c>
      <c r="B66" s="5" t="s">
        <v>145</v>
      </c>
      <c r="C66" s="5" t="s">
        <v>196</v>
      </c>
      <c r="D66" s="5" t="s">
        <v>11</v>
      </c>
      <c r="E66" s="5" t="s">
        <v>61</v>
      </c>
      <c r="F66" s="5" t="s">
        <v>89</v>
      </c>
      <c r="G66" s="5">
        <v>15</v>
      </c>
      <c r="H66" s="5">
        <v>43693</v>
      </c>
      <c r="J66" s="5" t="str">
        <f t="shared" si="0"/>
        <v>E065|Harshada Rathod|Neelam Shinde|Finance|Master|Male|15|43693</v>
      </c>
    </row>
    <row r="67" spans="1:10" x14ac:dyDescent="0.3">
      <c r="A67" s="5" t="s">
        <v>197</v>
      </c>
      <c r="B67" s="5" t="s">
        <v>198</v>
      </c>
      <c r="C67" s="5" t="s">
        <v>199</v>
      </c>
      <c r="D67" s="5" t="s">
        <v>11</v>
      </c>
      <c r="E67" s="5" t="s">
        <v>18</v>
      </c>
      <c r="F67" s="5" t="s">
        <v>89</v>
      </c>
      <c r="G67" s="5">
        <v>6</v>
      </c>
      <c r="H67" s="5">
        <v>53221</v>
      </c>
      <c r="J67" s="5" t="str">
        <f t="shared" ref="J67:J101" si="1">_xlfn.TEXTJOIN("|",FALSE,A67:H67)</f>
        <v>E066|Dinesh Patil|Aparna Pawar|Finance|PhD|Male|6|53221</v>
      </c>
    </row>
    <row r="68" spans="1:10" x14ac:dyDescent="0.3">
      <c r="A68" s="5" t="s">
        <v>200</v>
      </c>
      <c r="B68" s="5" t="s">
        <v>201</v>
      </c>
      <c r="C68" s="5" t="s">
        <v>202</v>
      </c>
      <c r="D68" s="5" t="s">
        <v>23</v>
      </c>
      <c r="E68" s="5" t="s">
        <v>12</v>
      </c>
      <c r="F68" s="5" t="s">
        <v>89</v>
      </c>
      <c r="G68" s="5">
        <v>5</v>
      </c>
      <c r="H68" s="5">
        <v>122120</v>
      </c>
      <c r="J68" s="5" t="str">
        <f t="shared" si="1"/>
        <v>E067|Sanjay Deshmukh|Siddhi Jadhav|HR|Bachelor|Male|5|122120</v>
      </c>
    </row>
    <row r="69" spans="1:10" x14ac:dyDescent="0.3">
      <c r="A69" s="5" t="s">
        <v>203</v>
      </c>
      <c r="B69" s="5" t="s">
        <v>204</v>
      </c>
      <c r="C69" s="5" t="s">
        <v>26</v>
      </c>
      <c r="D69" s="5" t="s">
        <v>48</v>
      </c>
      <c r="E69" s="5" t="s">
        <v>18</v>
      </c>
      <c r="F69" s="5" t="s">
        <v>89</v>
      </c>
      <c r="G69" s="5">
        <v>9</v>
      </c>
      <c r="H69" s="5">
        <v>142285</v>
      </c>
      <c r="J69" s="5" t="str">
        <f t="shared" si="1"/>
        <v>E068|Vikas Patil|Siddhi Bhosale|Marketing|PhD|Male|9|142285</v>
      </c>
    </row>
    <row r="70" spans="1:10" x14ac:dyDescent="0.3">
      <c r="A70" s="5" t="s">
        <v>205</v>
      </c>
      <c r="B70" s="5" t="s">
        <v>206</v>
      </c>
      <c r="C70" s="5" t="s">
        <v>207</v>
      </c>
      <c r="D70" s="5" t="s">
        <v>23</v>
      </c>
      <c r="E70" s="5" t="s">
        <v>44</v>
      </c>
      <c r="F70" s="5" t="s">
        <v>89</v>
      </c>
      <c r="G70" s="5">
        <v>11</v>
      </c>
      <c r="H70" s="5">
        <v>125508</v>
      </c>
      <c r="J70" s="5" t="str">
        <f t="shared" si="1"/>
        <v>E069|Shweta Patil|Neelam Rathod|HR|Diploma|Male|11|125508</v>
      </c>
    </row>
    <row r="71" spans="1:10" x14ac:dyDescent="0.3">
      <c r="A71" s="5" t="s">
        <v>208</v>
      </c>
      <c r="B71" s="5" t="s">
        <v>209</v>
      </c>
      <c r="C71" s="5" t="s">
        <v>191</v>
      </c>
      <c r="D71" s="5" t="s">
        <v>17</v>
      </c>
      <c r="E71" s="5" t="s">
        <v>18</v>
      </c>
      <c r="F71" s="5" t="s">
        <v>88</v>
      </c>
      <c r="G71" s="5">
        <v>13</v>
      </c>
      <c r="H71" s="5">
        <v>124920</v>
      </c>
      <c r="J71" s="5" t="str">
        <f t="shared" si="1"/>
        <v>E070|Madhavi Joshi|Aparna Bhosale|Engineering|PhD|Female|13|124920</v>
      </c>
    </row>
    <row r="72" spans="1:10" x14ac:dyDescent="0.3">
      <c r="A72" s="5" t="s">
        <v>210</v>
      </c>
      <c r="B72" s="5" t="s">
        <v>211</v>
      </c>
      <c r="C72" s="5" t="s">
        <v>212</v>
      </c>
      <c r="D72" s="5" t="s">
        <v>48</v>
      </c>
      <c r="E72" s="5" t="s">
        <v>44</v>
      </c>
      <c r="F72" s="5" t="s">
        <v>88</v>
      </c>
      <c r="G72" s="5">
        <v>14</v>
      </c>
      <c r="H72" s="5">
        <v>66059</v>
      </c>
      <c r="J72" s="5" t="str">
        <f t="shared" si="1"/>
        <v>E071|Nikhil Patil|Rajesh Jadhav|Marketing|Diploma|Female|14|66059</v>
      </c>
    </row>
    <row r="73" spans="1:10" x14ac:dyDescent="0.3">
      <c r="A73" s="5" t="s">
        <v>213</v>
      </c>
      <c r="B73" s="5" t="s">
        <v>214</v>
      </c>
      <c r="C73" s="5" t="s">
        <v>160</v>
      </c>
      <c r="D73" s="5" t="s">
        <v>27</v>
      </c>
      <c r="E73" s="5" t="s">
        <v>61</v>
      </c>
      <c r="F73" s="5" t="s">
        <v>88</v>
      </c>
      <c r="G73" s="5">
        <v>14</v>
      </c>
      <c r="H73" s="5">
        <v>74783</v>
      </c>
      <c r="J73" s="5" t="str">
        <f t="shared" si="1"/>
        <v>E072|Dinesh Bhosale|Sandeep Shinde|Sales|Master|Female|14|74783</v>
      </c>
    </row>
    <row r="74" spans="1:10" x14ac:dyDescent="0.3">
      <c r="A74" s="5" t="s">
        <v>215</v>
      </c>
      <c r="B74" s="5" t="s">
        <v>216</v>
      </c>
      <c r="C74" s="5" t="s">
        <v>217</v>
      </c>
      <c r="D74" s="5" t="s">
        <v>40</v>
      </c>
      <c r="E74" s="5" t="s">
        <v>18</v>
      </c>
      <c r="F74" s="5" t="s">
        <v>88</v>
      </c>
      <c r="G74" s="5">
        <v>13</v>
      </c>
      <c r="H74" s="5">
        <v>75495</v>
      </c>
      <c r="J74" s="5" t="str">
        <f t="shared" si="1"/>
        <v>E073|Shruti Gore|Siddhi Sawant|Operations|PhD|Female|13|75495</v>
      </c>
    </row>
    <row r="75" spans="1:10" x14ac:dyDescent="0.3">
      <c r="A75" s="5" t="s">
        <v>218</v>
      </c>
      <c r="B75" s="5" t="s">
        <v>219</v>
      </c>
      <c r="C75" s="5" t="s">
        <v>106</v>
      </c>
      <c r="D75" s="5" t="s">
        <v>11</v>
      </c>
      <c r="E75" s="5" t="s">
        <v>61</v>
      </c>
      <c r="F75" s="5" t="s">
        <v>89</v>
      </c>
      <c r="G75" s="5">
        <v>16</v>
      </c>
      <c r="H75" s="5">
        <v>111782</v>
      </c>
      <c r="J75" s="5" t="str">
        <f t="shared" si="1"/>
        <v>E074|Vaibhav Nimbalkar|Siddhi Shinde|Finance|Master|Male|16|111782</v>
      </c>
    </row>
    <row r="76" spans="1:10" x14ac:dyDescent="0.3">
      <c r="A76" s="5" t="s">
        <v>220</v>
      </c>
      <c r="B76" s="5" t="s">
        <v>221</v>
      </c>
      <c r="C76" s="5" t="s">
        <v>54</v>
      </c>
      <c r="D76" s="5" t="s">
        <v>27</v>
      </c>
      <c r="E76" s="5" t="s">
        <v>61</v>
      </c>
      <c r="F76" s="5" t="s">
        <v>89</v>
      </c>
      <c r="G76" s="5">
        <v>20</v>
      </c>
      <c r="H76" s="5">
        <v>122916</v>
      </c>
      <c r="J76" s="5" t="str">
        <f t="shared" si="1"/>
        <v>E075|Ravindra Tambe|Ravi Sawant|Sales|Master|Male|20|122916</v>
      </c>
    </row>
    <row r="77" spans="1:10" x14ac:dyDescent="0.3">
      <c r="A77" s="5" t="s">
        <v>222</v>
      </c>
      <c r="B77" s="5" t="s">
        <v>223</v>
      </c>
      <c r="C77" s="5" t="s">
        <v>224</v>
      </c>
      <c r="D77" s="5" t="s">
        <v>11</v>
      </c>
      <c r="E77" s="5" t="s">
        <v>61</v>
      </c>
      <c r="F77" s="5" t="s">
        <v>88</v>
      </c>
      <c r="G77" s="5">
        <v>10</v>
      </c>
      <c r="H77" s="5">
        <v>118193</v>
      </c>
      <c r="J77" s="5" t="str">
        <f t="shared" si="1"/>
        <v>E076|Ashwini Pawar|Siddhi Patil|Finance|Master|Female|10|118193</v>
      </c>
    </row>
    <row r="78" spans="1:10" x14ac:dyDescent="0.3">
      <c r="A78" s="5" t="s">
        <v>225</v>
      </c>
      <c r="B78" s="5" t="s">
        <v>226</v>
      </c>
      <c r="C78" s="5" t="s">
        <v>227</v>
      </c>
      <c r="D78" s="5" t="s">
        <v>40</v>
      </c>
      <c r="E78" s="5" t="s">
        <v>12</v>
      </c>
      <c r="F78" s="5" t="s">
        <v>88</v>
      </c>
      <c r="G78" s="5">
        <v>14</v>
      </c>
      <c r="H78" s="5">
        <v>83808</v>
      </c>
      <c r="J78" s="5" t="str">
        <f t="shared" si="1"/>
        <v>E077|Yogesh Rathod|Sandeep Patil|Operations|Bachelor|Female|14|83808</v>
      </c>
    </row>
    <row r="79" spans="1:10" x14ac:dyDescent="0.3">
      <c r="A79" s="5" t="s">
        <v>228</v>
      </c>
      <c r="B79" s="5" t="s">
        <v>229</v>
      </c>
      <c r="C79" s="5" t="s">
        <v>230</v>
      </c>
      <c r="D79" s="5" t="s">
        <v>11</v>
      </c>
      <c r="E79" s="5" t="s">
        <v>12</v>
      </c>
      <c r="F79" s="5" t="s">
        <v>88</v>
      </c>
      <c r="G79" s="5">
        <v>14</v>
      </c>
      <c r="H79" s="5">
        <v>104460</v>
      </c>
      <c r="J79" s="5" t="str">
        <f t="shared" si="1"/>
        <v>E078|Pooja Nimbalkar|Shubham Patil|Finance|Bachelor|Female|14|104460</v>
      </c>
    </row>
    <row r="80" spans="1:10" x14ac:dyDescent="0.3">
      <c r="A80" s="5" t="s">
        <v>231</v>
      </c>
      <c r="B80" s="5" t="s">
        <v>232</v>
      </c>
      <c r="C80" s="5" t="s">
        <v>47</v>
      </c>
      <c r="D80" s="5" t="s">
        <v>48</v>
      </c>
      <c r="E80" s="5" t="s">
        <v>18</v>
      </c>
      <c r="F80" s="5" t="s">
        <v>88</v>
      </c>
      <c r="G80" s="5">
        <v>6</v>
      </c>
      <c r="H80" s="5">
        <v>142447</v>
      </c>
      <c r="J80" s="5" t="str">
        <f t="shared" si="1"/>
        <v>E079|Aishwarya Nimbalkar|Vishal Patil|Marketing|PhD|Female|6|142447</v>
      </c>
    </row>
    <row r="81" spans="1:10" x14ac:dyDescent="0.3">
      <c r="A81" s="5" t="s">
        <v>233</v>
      </c>
      <c r="B81" s="5" t="s">
        <v>234</v>
      </c>
      <c r="C81" s="5" t="s">
        <v>77</v>
      </c>
      <c r="D81" s="5" t="s">
        <v>40</v>
      </c>
      <c r="E81" s="5" t="s">
        <v>18</v>
      </c>
      <c r="F81" s="5" t="s">
        <v>89</v>
      </c>
      <c r="G81" s="5">
        <v>2</v>
      </c>
      <c r="H81" s="5">
        <v>57293</v>
      </c>
      <c r="J81" s="5" t="str">
        <f t="shared" si="1"/>
        <v>E080|Ishwar Tambe|Kunal Shinde|Operations|PhD|Male|2|57293</v>
      </c>
    </row>
    <row r="82" spans="1:10" x14ac:dyDescent="0.3">
      <c r="A82" s="5" t="s">
        <v>235</v>
      </c>
      <c r="B82" s="5" t="s">
        <v>236</v>
      </c>
      <c r="C82" s="5" t="s">
        <v>43</v>
      </c>
      <c r="D82" s="5" t="s">
        <v>11</v>
      </c>
      <c r="E82" s="5" t="s">
        <v>44</v>
      </c>
      <c r="F82" s="5" t="s">
        <v>88</v>
      </c>
      <c r="G82" s="5">
        <v>18</v>
      </c>
      <c r="H82" s="5">
        <v>40966</v>
      </c>
      <c r="J82" s="5" t="str">
        <f t="shared" si="1"/>
        <v>E081|Harshada Patil|Sandeep Gore|Finance|Diploma|Female|18|40966</v>
      </c>
    </row>
    <row r="83" spans="1:10" x14ac:dyDescent="0.3">
      <c r="A83" s="5" t="s">
        <v>237</v>
      </c>
      <c r="B83" s="5" t="s">
        <v>238</v>
      </c>
      <c r="C83" s="5" t="s">
        <v>30</v>
      </c>
      <c r="D83" s="5" t="s">
        <v>17</v>
      </c>
      <c r="E83" s="5" t="s">
        <v>44</v>
      </c>
      <c r="F83" s="5" t="s">
        <v>89</v>
      </c>
      <c r="G83" s="5">
        <v>18</v>
      </c>
      <c r="H83" s="5">
        <v>136828</v>
      </c>
      <c r="J83" s="5" t="str">
        <f t="shared" si="1"/>
        <v>E082|Yogesh Kulkarni|Siddhi Rathod|Engineering|Diploma|Male|18|136828</v>
      </c>
    </row>
    <row r="84" spans="1:10" x14ac:dyDescent="0.3">
      <c r="A84" s="5" t="s">
        <v>239</v>
      </c>
      <c r="B84" s="5" t="s">
        <v>240</v>
      </c>
      <c r="C84" s="5" t="s">
        <v>241</v>
      </c>
      <c r="D84" s="5" t="s">
        <v>23</v>
      </c>
      <c r="E84" s="5" t="s">
        <v>18</v>
      </c>
      <c r="F84" s="5" t="s">
        <v>89</v>
      </c>
      <c r="G84" s="5">
        <v>1</v>
      </c>
      <c r="H84" s="5">
        <v>103601</v>
      </c>
      <c r="J84" s="5" t="str">
        <f t="shared" si="1"/>
        <v>E083|Pradeep Gajbhiye|Tejas Shinde|HR|PhD|Male|1|103601</v>
      </c>
    </row>
    <row r="85" spans="1:10" x14ac:dyDescent="0.3">
      <c r="A85" s="5" t="s">
        <v>242</v>
      </c>
      <c r="B85" s="5" t="s">
        <v>243</v>
      </c>
      <c r="C85" s="5" t="s">
        <v>244</v>
      </c>
      <c r="D85" s="5" t="s">
        <v>40</v>
      </c>
      <c r="E85" s="5" t="s">
        <v>12</v>
      </c>
      <c r="F85" s="5" t="s">
        <v>88</v>
      </c>
      <c r="G85" s="5">
        <v>4</v>
      </c>
      <c r="H85" s="5">
        <v>52957</v>
      </c>
      <c r="J85" s="5" t="str">
        <f t="shared" si="1"/>
        <v>E084|Swati Tiwari|Shubham Jadhav|Operations|Bachelor|Female|4|52957</v>
      </c>
    </row>
    <row r="86" spans="1:10" x14ac:dyDescent="0.3">
      <c r="A86" s="5" t="s">
        <v>245</v>
      </c>
      <c r="B86" s="5" t="s">
        <v>246</v>
      </c>
      <c r="C86" s="5" t="s">
        <v>241</v>
      </c>
      <c r="D86" s="5" t="s">
        <v>11</v>
      </c>
      <c r="E86" s="5" t="s">
        <v>18</v>
      </c>
      <c r="F86" s="5" t="s">
        <v>89</v>
      </c>
      <c r="G86" s="5">
        <v>18</v>
      </c>
      <c r="H86" s="5">
        <v>102739</v>
      </c>
      <c r="J86" s="5" t="str">
        <f t="shared" si="1"/>
        <v>E085|Pooja Sawant|Tejas Shinde|Finance|PhD|Male|18|102739</v>
      </c>
    </row>
    <row r="87" spans="1:10" x14ac:dyDescent="0.3">
      <c r="A87" s="5" t="s">
        <v>247</v>
      </c>
      <c r="B87" s="5" t="s">
        <v>248</v>
      </c>
      <c r="C87" s="5" t="s">
        <v>185</v>
      </c>
      <c r="D87" s="5" t="s">
        <v>40</v>
      </c>
      <c r="E87" s="5" t="s">
        <v>18</v>
      </c>
      <c r="F87" s="5" t="s">
        <v>88</v>
      </c>
      <c r="G87" s="5">
        <v>7</v>
      </c>
      <c r="H87" s="5">
        <v>73961</v>
      </c>
      <c r="J87" s="5" t="str">
        <f t="shared" si="1"/>
        <v>E086|Sachin Joshi|Siddhi Deshmukh|Operations|PhD|Female|7|73961</v>
      </c>
    </row>
    <row r="88" spans="1:10" x14ac:dyDescent="0.3">
      <c r="A88" s="5" t="s">
        <v>249</v>
      </c>
      <c r="B88" s="5" t="s">
        <v>250</v>
      </c>
      <c r="C88" s="5" t="s">
        <v>39</v>
      </c>
      <c r="D88" s="5" t="s">
        <v>48</v>
      </c>
      <c r="E88" s="5" t="s">
        <v>12</v>
      </c>
      <c r="F88" s="5" t="s">
        <v>88</v>
      </c>
      <c r="G88" s="5">
        <v>18</v>
      </c>
      <c r="H88" s="5">
        <v>93384</v>
      </c>
      <c r="J88" s="5" t="str">
        <f t="shared" si="1"/>
        <v>E087|Komal Deshmukh|Ravi Rathod|Marketing|Bachelor|Female|18|93384</v>
      </c>
    </row>
    <row r="89" spans="1:10" x14ac:dyDescent="0.3">
      <c r="A89" s="5" t="s">
        <v>251</v>
      </c>
      <c r="B89" s="5" t="s">
        <v>252</v>
      </c>
      <c r="C89" s="5" t="s">
        <v>153</v>
      </c>
      <c r="D89" s="5" t="s">
        <v>27</v>
      </c>
      <c r="E89" s="5" t="s">
        <v>12</v>
      </c>
      <c r="F89" s="5" t="s">
        <v>89</v>
      </c>
      <c r="G89" s="5">
        <v>12</v>
      </c>
      <c r="H89" s="5">
        <v>120575</v>
      </c>
      <c r="J89" s="5" t="str">
        <f t="shared" si="1"/>
        <v>E088|Pradeep Chavan|Vishal Rathod|Sales|Bachelor|Male|12|120575</v>
      </c>
    </row>
    <row r="90" spans="1:10" x14ac:dyDescent="0.3">
      <c r="A90" s="5" t="s">
        <v>253</v>
      </c>
      <c r="B90" s="5" t="s">
        <v>254</v>
      </c>
      <c r="C90" s="5" t="s">
        <v>51</v>
      </c>
      <c r="D90" s="5" t="s">
        <v>40</v>
      </c>
      <c r="E90" s="5" t="s">
        <v>12</v>
      </c>
      <c r="F90" s="5" t="s">
        <v>88</v>
      </c>
      <c r="G90" s="5">
        <v>20</v>
      </c>
      <c r="H90" s="5">
        <v>93692</v>
      </c>
      <c r="J90" s="5" t="str">
        <f t="shared" si="1"/>
        <v>E089|Amol Tambe|Vishal Jadhav|Operations|Bachelor|Female|20|93692</v>
      </c>
    </row>
    <row r="91" spans="1:10" x14ac:dyDescent="0.3">
      <c r="A91" s="5" t="s">
        <v>255</v>
      </c>
      <c r="B91" s="5" t="s">
        <v>256</v>
      </c>
      <c r="C91" s="5" t="s">
        <v>113</v>
      </c>
      <c r="D91" s="5" t="s">
        <v>27</v>
      </c>
      <c r="E91" s="5" t="s">
        <v>61</v>
      </c>
      <c r="F91" s="5" t="s">
        <v>89</v>
      </c>
      <c r="G91" s="5">
        <v>16</v>
      </c>
      <c r="H91" s="5">
        <v>91522</v>
      </c>
      <c r="J91" s="5" t="str">
        <f t="shared" si="1"/>
        <v>E090|Dinesh Tambe|Rajesh Sawant|Sales|Master|Male|16|91522</v>
      </c>
    </row>
    <row r="92" spans="1:10" x14ac:dyDescent="0.3">
      <c r="A92" s="5" t="s">
        <v>257</v>
      </c>
      <c r="B92" s="5" t="s">
        <v>258</v>
      </c>
      <c r="C92" s="5" t="s">
        <v>60</v>
      </c>
      <c r="D92" s="5" t="s">
        <v>48</v>
      </c>
      <c r="E92" s="5" t="s">
        <v>12</v>
      </c>
      <c r="F92" s="5" t="s">
        <v>89</v>
      </c>
      <c r="G92" s="5">
        <v>20</v>
      </c>
      <c r="H92" s="5">
        <v>87966</v>
      </c>
      <c r="J92" s="5" t="str">
        <f t="shared" si="1"/>
        <v>E091|Sangeeta Jadhav|Ravi Kulkarni|Marketing|Bachelor|Male|20|87966</v>
      </c>
    </row>
    <row r="93" spans="1:10" x14ac:dyDescent="0.3">
      <c r="A93" s="5" t="s">
        <v>259</v>
      </c>
      <c r="B93" s="5" t="s">
        <v>260</v>
      </c>
      <c r="C93" s="5" t="s">
        <v>160</v>
      </c>
      <c r="D93" s="5" t="s">
        <v>23</v>
      </c>
      <c r="E93" s="5" t="s">
        <v>61</v>
      </c>
      <c r="F93" s="5" t="s">
        <v>88</v>
      </c>
      <c r="G93" s="5">
        <v>20</v>
      </c>
      <c r="H93" s="5">
        <v>109396</v>
      </c>
      <c r="J93" s="5" t="str">
        <f t="shared" si="1"/>
        <v>E092|Shubhangi Nimbalkar|Sandeep Shinde|HR|Master|Female|20|109396</v>
      </c>
    </row>
    <row r="94" spans="1:10" x14ac:dyDescent="0.3">
      <c r="A94" s="5" t="s">
        <v>261</v>
      </c>
      <c r="B94" s="5" t="s">
        <v>262</v>
      </c>
      <c r="C94" s="5" t="s">
        <v>43</v>
      </c>
      <c r="D94" s="5" t="s">
        <v>40</v>
      </c>
      <c r="E94" s="5" t="s">
        <v>44</v>
      </c>
      <c r="F94" s="5" t="s">
        <v>89</v>
      </c>
      <c r="G94" s="5">
        <v>6</v>
      </c>
      <c r="H94" s="5">
        <v>64243</v>
      </c>
      <c r="J94" s="5" t="str">
        <f t="shared" si="1"/>
        <v>E093|Namrata Gajbhiye|Sandeep Gore|Operations|Diploma|Male|6|64243</v>
      </c>
    </row>
    <row r="95" spans="1:10" x14ac:dyDescent="0.3">
      <c r="A95" s="5" t="s">
        <v>263</v>
      </c>
      <c r="B95" s="5" t="s">
        <v>264</v>
      </c>
      <c r="C95" s="5" t="s">
        <v>163</v>
      </c>
      <c r="D95" s="5" t="s">
        <v>17</v>
      </c>
      <c r="E95" s="5" t="s">
        <v>61</v>
      </c>
      <c r="F95" s="5" t="s">
        <v>88</v>
      </c>
      <c r="G95" s="5">
        <v>7</v>
      </c>
      <c r="H95" s="5">
        <v>123602</v>
      </c>
      <c r="J95" s="5" t="str">
        <f t="shared" si="1"/>
        <v>E094|Nikita Shinde|Tejas Rathod|Engineering|Master|Female|7|123602</v>
      </c>
    </row>
    <row r="96" spans="1:10" x14ac:dyDescent="0.3">
      <c r="A96" s="5" t="s">
        <v>265</v>
      </c>
      <c r="B96" s="5" t="s">
        <v>266</v>
      </c>
      <c r="C96" s="5" t="s">
        <v>267</v>
      </c>
      <c r="D96" s="5" t="s">
        <v>17</v>
      </c>
      <c r="E96" s="5" t="s">
        <v>44</v>
      </c>
      <c r="F96" s="5" t="s">
        <v>89</v>
      </c>
      <c r="G96" s="5">
        <v>6</v>
      </c>
      <c r="H96" s="5">
        <v>123056</v>
      </c>
      <c r="J96" s="5" t="str">
        <f t="shared" si="1"/>
        <v>E095|Shruti Shinde|Aparna Kulkarni|Engineering|Diploma|Male|6|123056</v>
      </c>
    </row>
    <row r="97" spans="1:10" x14ac:dyDescent="0.3">
      <c r="A97" s="5" t="s">
        <v>268</v>
      </c>
      <c r="B97" s="5" t="s">
        <v>269</v>
      </c>
      <c r="C97" s="5" t="s">
        <v>30</v>
      </c>
      <c r="D97" s="5" t="s">
        <v>17</v>
      </c>
      <c r="E97" s="5" t="s">
        <v>12</v>
      </c>
      <c r="F97" s="5" t="s">
        <v>88</v>
      </c>
      <c r="G97" s="5">
        <v>6</v>
      </c>
      <c r="H97" s="5">
        <v>92906</v>
      </c>
      <c r="J97" s="5" t="str">
        <f t="shared" si="1"/>
        <v>E096|Gaurav Pawar|Siddhi Rathod|Engineering|Bachelor|Female|6|92906</v>
      </c>
    </row>
    <row r="98" spans="1:10" x14ac:dyDescent="0.3">
      <c r="A98" s="5" t="s">
        <v>270</v>
      </c>
      <c r="B98" s="5" t="s">
        <v>271</v>
      </c>
      <c r="C98" s="5" t="s">
        <v>43</v>
      </c>
      <c r="D98" s="5" t="s">
        <v>27</v>
      </c>
      <c r="E98" s="5" t="s">
        <v>61</v>
      </c>
      <c r="F98" s="5" t="s">
        <v>89</v>
      </c>
      <c r="G98" s="5">
        <v>8</v>
      </c>
      <c r="H98" s="5">
        <v>64956</v>
      </c>
      <c r="J98" s="5" t="str">
        <f t="shared" si="1"/>
        <v>E097|Tejas Mane|Sandeep Gore|Sales|Master|Male|8|64956</v>
      </c>
    </row>
    <row r="99" spans="1:10" x14ac:dyDescent="0.3">
      <c r="A99" s="5" t="s">
        <v>272</v>
      </c>
      <c r="B99" s="5" t="s">
        <v>56</v>
      </c>
      <c r="C99" s="5" t="s">
        <v>143</v>
      </c>
      <c r="D99" s="5" t="s">
        <v>11</v>
      </c>
      <c r="E99" s="5" t="s">
        <v>18</v>
      </c>
      <c r="F99" s="5" t="s">
        <v>89</v>
      </c>
      <c r="G99" s="5">
        <v>11</v>
      </c>
      <c r="H99" s="5">
        <v>119764</v>
      </c>
      <c r="J99" s="5" t="str">
        <f t="shared" si="1"/>
        <v>E098|Madhavi Kadam|Sandeep Rathod|Finance|PhD|Male|11|119764</v>
      </c>
    </row>
    <row r="100" spans="1:10" x14ac:dyDescent="0.3">
      <c r="A100" s="5" t="s">
        <v>273</v>
      </c>
      <c r="B100" s="5" t="s">
        <v>274</v>
      </c>
      <c r="C100" s="5" t="s">
        <v>103</v>
      </c>
      <c r="D100" s="5" t="s">
        <v>27</v>
      </c>
      <c r="E100" s="5" t="s">
        <v>44</v>
      </c>
      <c r="F100" s="5" t="s">
        <v>89</v>
      </c>
      <c r="G100" s="5">
        <v>1</v>
      </c>
      <c r="H100" s="5">
        <v>76522</v>
      </c>
      <c r="J100" s="5" t="str">
        <f t="shared" si="1"/>
        <v>E099|Neha Jadhav|Rajesh Patil|Sales|Diploma|Male|1|76522</v>
      </c>
    </row>
    <row r="101" spans="1:10" x14ac:dyDescent="0.3">
      <c r="A101" s="5" t="s">
        <v>275</v>
      </c>
      <c r="B101" s="5" t="s">
        <v>276</v>
      </c>
      <c r="C101" s="5" t="s">
        <v>277</v>
      </c>
      <c r="D101" s="5" t="s">
        <v>17</v>
      </c>
      <c r="E101" s="5" t="s">
        <v>18</v>
      </c>
      <c r="F101" s="5" t="s">
        <v>88</v>
      </c>
      <c r="G101" s="5">
        <v>12</v>
      </c>
      <c r="H101" s="5">
        <v>63238</v>
      </c>
      <c r="J101" s="5" t="str">
        <f t="shared" si="1"/>
        <v>E100|Neha Chavan|Shubham Rathod|Engineering|PhD|Female|12|63238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FEB9-15C3-4A2B-A053-4EA5AB404279}">
  <dimension ref="A1:A101"/>
  <sheetViews>
    <sheetView topLeftCell="A13" workbookViewId="0">
      <selection activeCell="A13" sqref="A1:A1048576"/>
    </sheetView>
  </sheetViews>
  <sheetFormatPr defaultRowHeight="14.4" x14ac:dyDescent="0.3"/>
  <cols>
    <col min="1" max="1" width="85.21875" bestFit="1" customWidth="1"/>
  </cols>
  <sheetData>
    <row r="1" spans="1:1" x14ac:dyDescent="0.3">
      <c r="A1" s="7" t="s">
        <v>279</v>
      </c>
    </row>
    <row r="2" spans="1:1" x14ac:dyDescent="0.3">
      <c r="A2" s="7" t="s">
        <v>280</v>
      </c>
    </row>
    <row r="3" spans="1:1" x14ac:dyDescent="0.3">
      <c r="A3" s="7" t="s">
        <v>281</v>
      </c>
    </row>
    <row r="4" spans="1:1" x14ac:dyDescent="0.3">
      <c r="A4" s="7" t="s">
        <v>282</v>
      </c>
    </row>
    <row r="5" spans="1:1" x14ac:dyDescent="0.3">
      <c r="A5" s="7" t="s">
        <v>283</v>
      </c>
    </row>
    <row r="6" spans="1:1" x14ac:dyDescent="0.3">
      <c r="A6" s="7" t="s">
        <v>284</v>
      </c>
    </row>
    <row r="7" spans="1:1" x14ac:dyDescent="0.3">
      <c r="A7" s="7" t="s">
        <v>285</v>
      </c>
    </row>
    <row r="8" spans="1:1" x14ac:dyDescent="0.3">
      <c r="A8" s="7" t="s">
        <v>286</v>
      </c>
    </row>
    <row r="9" spans="1:1" x14ac:dyDescent="0.3">
      <c r="A9" s="7" t="s">
        <v>287</v>
      </c>
    </row>
    <row r="10" spans="1:1" x14ac:dyDescent="0.3">
      <c r="A10" s="7" t="s">
        <v>288</v>
      </c>
    </row>
    <row r="11" spans="1:1" x14ac:dyDescent="0.3">
      <c r="A11" s="7" t="s">
        <v>289</v>
      </c>
    </row>
    <row r="12" spans="1:1" x14ac:dyDescent="0.3">
      <c r="A12" s="7" t="s">
        <v>290</v>
      </c>
    </row>
    <row r="13" spans="1:1" x14ac:dyDescent="0.3">
      <c r="A13" s="7" t="s">
        <v>291</v>
      </c>
    </row>
    <row r="14" spans="1:1" x14ac:dyDescent="0.3">
      <c r="A14" s="7" t="s">
        <v>292</v>
      </c>
    </row>
    <row r="15" spans="1:1" x14ac:dyDescent="0.3">
      <c r="A15" s="7" t="s">
        <v>293</v>
      </c>
    </row>
    <row r="16" spans="1:1" x14ac:dyDescent="0.3">
      <c r="A16" s="7" t="s">
        <v>294</v>
      </c>
    </row>
    <row r="17" spans="1:1" x14ac:dyDescent="0.3">
      <c r="A17" s="7" t="s">
        <v>295</v>
      </c>
    </row>
    <row r="18" spans="1:1" x14ac:dyDescent="0.3">
      <c r="A18" s="7" t="s">
        <v>296</v>
      </c>
    </row>
    <row r="19" spans="1:1" x14ac:dyDescent="0.3">
      <c r="A19" s="7" t="s">
        <v>297</v>
      </c>
    </row>
    <row r="20" spans="1:1" x14ac:dyDescent="0.3">
      <c r="A20" s="7" t="s">
        <v>298</v>
      </c>
    </row>
    <row r="21" spans="1:1" x14ac:dyDescent="0.3">
      <c r="A21" s="7" t="s">
        <v>299</v>
      </c>
    </row>
    <row r="22" spans="1:1" x14ac:dyDescent="0.3">
      <c r="A22" s="7" t="s">
        <v>300</v>
      </c>
    </row>
    <row r="23" spans="1:1" x14ac:dyDescent="0.3">
      <c r="A23" s="7" t="s">
        <v>301</v>
      </c>
    </row>
    <row r="24" spans="1:1" x14ac:dyDescent="0.3">
      <c r="A24" s="7" t="s">
        <v>302</v>
      </c>
    </row>
    <row r="25" spans="1:1" x14ac:dyDescent="0.3">
      <c r="A25" s="7" t="s">
        <v>303</v>
      </c>
    </row>
    <row r="26" spans="1:1" x14ac:dyDescent="0.3">
      <c r="A26" s="7" t="s">
        <v>304</v>
      </c>
    </row>
    <row r="27" spans="1:1" x14ac:dyDescent="0.3">
      <c r="A27" s="7" t="s">
        <v>305</v>
      </c>
    </row>
    <row r="28" spans="1:1" x14ac:dyDescent="0.3">
      <c r="A28" s="7" t="s">
        <v>306</v>
      </c>
    </row>
    <row r="29" spans="1:1" x14ac:dyDescent="0.3">
      <c r="A29" s="7" t="s">
        <v>307</v>
      </c>
    </row>
    <row r="30" spans="1:1" x14ac:dyDescent="0.3">
      <c r="A30" s="7" t="s">
        <v>308</v>
      </c>
    </row>
    <row r="31" spans="1:1" x14ac:dyDescent="0.3">
      <c r="A31" s="7" t="s">
        <v>309</v>
      </c>
    </row>
    <row r="32" spans="1:1" x14ac:dyDescent="0.3">
      <c r="A32" s="7" t="s">
        <v>310</v>
      </c>
    </row>
    <row r="33" spans="1:1" x14ac:dyDescent="0.3">
      <c r="A33" s="7" t="s">
        <v>311</v>
      </c>
    </row>
    <row r="34" spans="1:1" x14ac:dyDescent="0.3">
      <c r="A34" s="7" t="s">
        <v>312</v>
      </c>
    </row>
    <row r="35" spans="1:1" x14ac:dyDescent="0.3">
      <c r="A35" s="7" t="s">
        <v>313</v>
      </c>
    </row>
    <row r="36" spans="1:1" x14ac:dyDescent="0.3">
      <c r="A36" s="7" t="s">
        <v>314</v>
      </c>
    </row>
    <row r="37" spans="1:1" x14ac:dyDescent="0.3">
      <c r="A37" s="7" t="s">
        <v>315</v>
      </c>
    </row>
    <row r="38" spans="1:1" x14ac:dyDescent="0.3">
      <c r="A38" s="7" t="s">
        <v>316</v>
      </c>
    </row>
    <row r="39" spans="1:1" x14ac:dyDescent="0.3">
      <c r="A39" s="7" t="s">
        <v>317</v>
      </c>
    </row>
    <row r="40" spans="1:1" x14ac:dyDescent="0.3">
      <c r="A40" s="7" t="s">
        <v>318</v>
      </c>
    </row>
    <row r="41" spans="1:1" x14ac:dyDescent="0.3">
      <c r="A41" s="7" t="s">
        <v>319</v>
      </c>
    </row>
    <row r="42" spans="1:1" x14ac:dyDescent="0.3">
      <c r="A42" s="7" t="s">
        <v>320</v>
      </c>
    </row>
    <row r="43" spans="1:1" x14ac:dyDescent="0.3">
      <c r="A43" s="7" t="s">
        <v>321</v>
      </c>
    </row>
    <row r="44" spans="1:1" x14ac:dyDescent="0.3">
      <c r="A44" s="7" t="s">
        <v>322</v>
      </c>
    </row>
    <row r="45" spans="1:1" x14ac:dyDescent="0.3">
      <c r="A45" s="7" t="s">
        <v>323</v>
      </c>
    </row>
    <row r="46" spans="1:1" x14ac:dyDescent="0.3">
      <c r="A46" s="7" t="s">
        <v>324</v>
      </c>
    </row>
    <row r="47" spans="1:1" x14ac:dyDescent="0.3">
      <c r="A47" s="7" t="s">
        <v>325</v>
      </c>
    </row>
    <row r="48" spans="1:1" x14ac:dyDescent="0.3">
      <c r="A48" s="7" t="s">
        <v>326</v>
      </c>
    </row>
    <row r="49" spans="1:1" x14ac:dyDescent="0.3">
      <c r="A49" s="7" t="s">
        <v>327</v>
      </c>
    </row>
    <row r="50" spans="1:1" x14ac:dyDescent="0.3">
      <c r="A50" s="7" t="s">
        <v>328</v>
      </c>
    </row>
    <row r="51" spans="1:1" x14ac:dyDescent="0.3">
      <c r="A51" s="7" t="s">
        <v>329</v>
      </c>
    </row>
    <row r="52" spans="1:1" x14ac:dyDescent="0.3">
      <c r="A52" s="7" t="s">
        <v>330</v>
      </c>
    </row>
    <row r="53" spans="1:1" x14ac:dyDescent="0.3">
      <c r="A53" s="7" t="s">
        <v>331</v>
      </c>
    </row>
    <row r="54" spans="1:1" x14ac:dyDescent="0.3">
      <c r="A54" s="7" t="s">
        <v>332</v>
      </c>
    </row>
    <row r="55" spans="1:1" x14ac:dyDescent="0.3">
      <c r="A55" s="7" t="s">
        <v>333</v>
      </c>
    </row>
    <row r="56" spans="1:1" x14ac:dyDescent="0.3">
      <c r="A56" s="7" t="s">
        <v>334</v>
      </c>
    </row>
    <row r="57" spans="1:1" x14ac:dyDescent="0.3">
      <c r="A57" s="7" t="s">
        <v>335</v>
      </c>
    </row>
    <row r="58" spans="1:1" x14ac:dyDescent="0.3">
      <c r="A58" s="7" t="s">
        <v>336</v>
      </c>
    </row>
    <row r="59" spans="1:1" x14ac:dyDescent="0.3">
      <c r="A59" s="7" t="s">
        <v>337</v>
      </c>
    </row>
    <row r="60" spans="1:1" x14ac:dyDescent="0.3">
      <c r="A60" s="7" t="s">
        <v>338</v>
      </c>
    </row>
    <row r="61" spans="1:1" x14ac:dyDescent="0.3">
      <c r="A61" s="7" t="s">
        <v>339</v>
      </c>
    </row>
    <row r="62" spans="1:1" x14ac:dyDescent="0.3">
      <c r="A62" s="7" t="s">
        <v>340</v>
      </c>
    </row>
    <row r="63" spans="1:1" x14ac:dyDescent="0.3">
      <c r="A63" s="7" t="s">
        <v>341</v>
      </c>
    </row>
    <row r="64" spans="1:1" x14ac:dyDescent="0.3">
      <c r="A64" s="7" t="s">
        <v>342</v>
      </c>
    </row>
    <row r="65" spans="1:1" x14ac:dyDescent="0.3">
      <c r="A65" s="7" t="s">
        <v>343</v>
      </c>
    </row>
    <row r="66" spans="1:1" x14ac:dyDescent="0.3">
      <c r="A66" s="7" t="s">
        <v>344</v>
      </c>
    </row>
    <row r="67" spans="1:1" x14ac:dyDescent="0.3">
      <c r="A67" s="7" t="s">
        <v>345</v>
      </c>
    </row>
    <row r="68" spans="1:1" x14ac:dyDescent="0.3">
      <c r="A68" s="7" t="s">
        <v>346</v>
      </c>
    </row>
    <row r="69" spans="1:1" x14ac:dyDescent="0.3">
      <c r="A69" s="7" t="s">
        <v>347</v>
      </c>
    </row>
    <row r="70" spans="1:1" x14ac:dyDescent="0.3">
      <c r="A70" s="7" t="s">
        <v>348</v>
      </c>
    </row>
    <row r="71" spans="1:1" x14ac:dyDescent="0.3">
      <c r="A71" s="7" t="s">
        <v>349</v>
      </c>
    </row>
    <row r="72" spans="1:1" x14ac:dyDescent="0.3">
      <c r="A72" s="7" t="s">
        <v>350</v>
      </c>
    </row>
    <row r="73" spans="1:1" x14ac:dyDescent="0.3">
      <c r="A73" s="7" t="s">
        <v>351</v>
      </c>
    </row>
    <row r="74" spans="1:1" x14ac:dyDescent="0.3">
      <c r="A74" s="7" t="s">
        <v>352</v>
      </c>
    </row>
    <row r="75" spans="1:1" x14ac:dyDescent="0.3">
      <c r="A75" s="7" t="s">
        <v>353</v>
      </c>
    </row>
    <row r="76" spans="1:1" x14ac:dyDescent="0.3">
      <c r="A76" s="7" t="s">
        <v>354</v>
      </c>
    </row>
    <row r="77" spans="1:1" x14ac:dyDescent="0.3">
      <c r="A77" s="7" t="s">
        <v>355</v>
      </c>
    </row>
    <row r="78" spans="1:1" x14ac:dyDescent="0.3">
      <c r="A78" s="7" t="s">
        <v>356</v>
      </c>
    </row>
    <row r="79" spans="1:1" x14ac:dyDescent="0.3">
      <c r="A79" s="7" t="s">
        <v>357</v>
      </c>
    </row>
    <row r="80" spans="1:1" x14ac:dyDescent="0.3">
      <c r="A80" s="7" t="s">
        <v>358</v>
      </c>
    </row>
    <row r="81" spans="1:1" x14ac:dyDescent="0.3">
      <c r="A81" s="7" t="s">
        <v>359</v>
      </c>
    </row>
    <row r="82" spans="1:1" x14ac:dyDescent="0.3">
      <c r="A82" s="7" t="s">
        <v>360</v>
      </c>
    </row>
    <row r="83" spans="1:1" x14ac:dyDescent="0.3">
      <c r="A83" s="7" t="s">
        <v>361</v>
      </c>
    </row>
    <row r="84" spans="1:1" x14ac:dyDescent="0.3">
      <c r="A84" s="7" t="s">
        <v>362</v>
      </c>
    </row>
    <row r="85" spans="1:1" x14ac:dyDescent="0.3">
      <c r="A85" s="7" t="s">
        <v>363</v>
      </c>
    </row>
    <row r="86" spans="1:1" x14ac:dyDescent="0.3">
      <c r="A86" s="7" t="s">
        <v>364</v>
      </c>
    </row>
    <row r="87" spans="1:1" x14ac:dyDescent="0.3">
      <c r="A87" s="7" t="s">
        <v>365</v>
      </c>
    </row>
    <row r="88" spans="1:1" x14ac:dyDescent="0.3">
      <c r="A88" s="7" t="s">
        <v>366</v>
      </c>
    </row>
    <row r="89" spans="1:1" x14ac:dyDescent="0.3">
      <c r="A89" s="7" t="s">
        <v>367</v>
      </c>
    </row>
    <row r="90" spans="1:1" x14ac:dyDescent="0.3">
      <c r="A90" s="7" t="s">
        <v>368</v>
      </c>
    </row>
    <row r="91" spans="1:1" x14ac:dyDescent="0.3">
      <c r="A91" s="7" t="s">
        <v>369</v>
      </c>
    </row>
    <row r="92" spans="1:1" x14ac:dyDescent="0.3">
      <c r="A92" s="7" t="s">
        <v>370</v>
      </c>
    </row>
    <row r="93" spans="1:1" x14ac:dyDescent="0.3">
      <c r="A93" s="7" t="s">
        <v>371</v>
      </c>
    </row>
    <row r="94" spans="1:1" x14ac:dyDescent="0.3">
      <c r="A94" s="7" t="s">
        <v>372</v>
      </c>
    </row>
    <row r="95" spans="1:1" x14ac:dyDescent="0.3">
      <c r="A95" s="7" t="s">
        <v>373</v>
      </c>
    </row>
    <row r="96" spans="1:1" x14ac:dyDescent="0.3">
      <c r="A96" s="7" t="s">
        <v>374</v>
      </c>
    </row>
    <row r="97" spans="1:1" x14ac:dyDescent="0.3">
      <c r="A97" s="7" t="s">
        <v>375</v>
      </c>
    </row>
    <row r="98" spans="1:1" x14ac:dyDescent="0.3">
      <c r="A98" s="7" t="s">
        <v>376</v>
      </c>
    </row>
    <row r="99" spans="1:1" x14ac:dyDescent="0.3">
      <c r="A99" s="7" t="s">
        <v>377</v>
      </c>
    </row>
    <row r="100" spans="1:1" x14ac:dyDescent="0.3">
      <c r="A100" s="7" t="s">
        <v>378</v>
      </c>
    </row>
    <row r="101" spans="1:1" x14ac:dyDescent="0.3">
      <c r="A101" s="7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A71C-D98F-4432-AFC1-666A237B9BE1}">
  <dimension ref="A1:H101"/>
  <sheetViews>
    <sheetView tabSelected="1" workbookViewId="0">
      <selection sqref="A1:A1048576"/>
    </sheetView>
  </sheetViews>
  <sheetFormatPr defaultRowHeight="14.4" x14ac:dyDescent="0.3"/>
  <cols>
    <col min="1" max="1" width="11.21875" style="7" bestFit="1" customWidth="1"/>
  </cols>
  <sheetData>
    <row r="1" spans="1:8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7" t="s">
        <v>8</v>
      </c>
      <c r="B2" t="s">
        <v>9</v>
      </c>
      <c r="C2" t="s">
        <v>10</v>
      </c>
      <c r="D2" t="s">
        <v>11</v>
      </c>
      <c r="E2" t="s">
        <v>12</v>
      </c>
      <c r="F2" t="s">
        <v>88</v>
      </c>
      <c r="G2">
        <v>18</v>
      </c>
      <c r="H2">
        <v>103464</v>
      </c>
    </row>
    <row r="3" spans="1:8" x14ac:dyDescent="0.3">
      <c r="A3" s="7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89</v>
      </c>
      <c r="G3">
        <v>9</v>
      </c>
      <c r="H3">
        <v>126942</v>
      </c>
    </row>
    <row r="4" spans="1:8" x14ac:dyDescent="0.3">
      <c r="A4" s="7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89</v>
      </c>
      <c r="G4">
        <v>14</v>
      </c>
      <c r="H4">
        <v>129882</v>
      </c>
    </row>
    <row r="5" spans="1:8" x14ac:dyDescent="0.3">
      <c r="A5" s="7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89</v>
      </c>
      <c r="G5">
        <v>2</v>
      </c>
      <c r="H5">
        <v>71092</v>
      </c>
    </row>
    <row r="6" spans="1:8" x14ac:dyDescent="0.3">
      <c r="A6" s="7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88</v>
      </c>
      <c r="G6">
        <v>8</v>
      </c>
      <c r="H6">
        <v>104760</v>
      </c>
    </row>
    <row r="7" spans="1:8" x14ac:dyDescent="0.3">
      <c r="A7" s="7" t="s">
        <v>31</v>
      </c>
      <c r="B7" t="s">
        <v>32</v>
      </c>
      <c r="C7" t="s">
        <v>33</v>
      </c>
      <c r="D7" t="s">
        <v>23</v>
      </c>
      <c r="E7" t="s">
        <v>12</v>
      </c>
      <c r="F7" t="s">
        <v>88</v>
      </c>
      <c r="G7">
        <v>19</v>
      </c>
      <c r="H7">
        <v>74462</v>
      </c>
    </row>
    <row r="8" spans="1:8" x14ac:dyDescent="0.3">
      <c r="A8" s="7" t="s">
        <v>34</v>
      </c>
      <c r="B8" t="s">
        <v>35</v>
      </c>
      <c r="C8" t="s">
        <v>36</v>
      </c>
      <c r="D8" t="s">
        <v>23</v>
      </c>
      <c r="E8" t="s">
        <v>18</v>
      </c>
      <c r="F8" t="s">
        <v>88</v>
      </c>
      <c r="G8">
        <v>10</v>
      </c>
      <c r="H8">
        <v>90573</v>
      </c>
    </row>
    <row r="9" spans="1:8" x14ac:dyDescent="0.3">
      <c r="A9" s="7" t="s">
        <v>37</v>
      </c>
      <c r="B9" t="s">
        <v>38</v>
      </c>
      <c r="C9" t="s">
        <v>39</v>
      </c>
      <c r="D9" t="s">
        <v>40</v>
      </c>
      <c r="E9" t="s">
        <v>12</v>
      </c>
      <c r="F9" t="s">
        <v>88</v>
      </c>
      <c r="G9">
        <v>19</v>
      </c>
      <c r="H9">
        <v>67690</v>
      </c>
    </row>
    <row r="10" spans="1:8" x14ac:dyDescent="0.3">
      <c r="A10" s="7" t="s">
        <v>41</v>
      </c>
      <c r="B10" t="s">
        <v>42</v>
      </c>
      <c r="C10" t="s">
        <v>43</v>
      </c>
      <c r="D10" t="s">
        <v>11</v>
      </c>
      <c r="E10" t="s">
        <v>44</v>
      </c>
      <c r="F10" t="s">
        <v>89</v>
      </c>
      <c r="G10">
        <v>8</v>
      </c>
      <c r="H10">
        <v>95724</v>
      </c>
    </row>
    <row r="11" spans="1:8" x14ac:dyDescent="0.3">
      <c r="A11" s="7" t="s">
        <v>45</v>
      </c>
      <c r="B11" t="s">
        <v>46</v>
      </c>
      <c r="C11" t="s">
        <v>47</v>
      </c>
      <c r="D11" t="s">
        <v>48</v>
      </c>
      <c r="E11" t="s">
        <v>18</v>
      </c>
      <c r="F11" t="s">
        <v>88</v>
      </c>
      <c r="G11">
        <v>17</v>
      </c>
      <c r="H11">
        <v>64884</v>
      </c>
    </row>
    <row r="12" spans="1:8" x14ac:dyDescent="0.3">
      <c r="A12" s="7" t="s">
        <v>49</v>
      </c>
      <c r="B12" t="s">
        <v>50</v>
      </c>
      <c r="C12" t="s">
        <v>51</v>
      </c>
      <c r="D12" t="s">
        <v>11</v>
      </c>
      <c r="E12" t="s">
        <v>18</v>
      </c>
      <c r="F12" t="s">
        <v>89</v>
      </c>
      <c r="G12">
        <v>15</v>
      </c>
      <c r="H12">
        <v>142125</v>
      </c>
    </row>
    <row r="13" spans="1:8" x14ac:dyDescent="0.3">
      <c r="A13" s="7" t="s">
        <v>52</v>
      </c>
      <c r="B13" t="s">
        <v>53</v>
      </c>
      <c r="C13" t="s">
        <v>54</v>
      </c>
      <c r="D13" t="s">
        <v>40</v>
      </c>
      <c r="E13" t="s">
        <v>18</v>
      </c>
      <c r="F13" t="s">
        <v>89</v>
      </c>
      <c r="G13">
        <v>3</v>
      </c>
      <c r="H13">
        <v>132435</v>
      </c>
    </row>
    <row r="14" spans="1:8" x14ac:dyDescent="0.3">
      <c r="A14" s="7" t="s">
        <v>55</v>
      </c>
      <c r="B14" t="s">
        <v>56</v>
      </c>
      <c r="C14" t="s">
        <v>57</v>
      </c>
      <c r="D14" t="s">
        <v>27</v>
      </c>
      <c r="E14" t="s">
        <v>18</v>
      </c>
      <c r="F14" t="s">
        <v>89</v>
      </c>
      <c r="G14">
        <v>10</v>
      </c>
      <c r="H14">
        <v>111948</v>
      </c>
    </row>
    <row r="15" spans="1:8" x14ac:dyDescent="0.3">
      <c r="A15" s="7" t="s">
        <v>58</v>
      </c>
      <c r="B15" t="s">
        <v>59</v>
      </c>
      <c r="C15" t="s">
        <v>60</v>
      </c>
      <c r="D15" t="s">
        <v>17</v>
      </c>
      <c r="E15" t="s">
        <v>61</v>
      </c>
      <c r="F15" t="s">
        <v>88</v>
      </c>
      <c r="G15">
        <v>15</v>
      </c>
      <c r="H15">
        <v>106428</v>
      </c>
    </row>
    <row r="16" spans="1:8" x14ac:dyDescent="0.3">
      <c r="A16" s="7" t="s">
        <v>62</v>
      </c>
      <c r="B16" t="s">
        <v>63</v>
      </c>
      <c r="C16" t="s">
        <v>33</v>
      </c>
      <c r="D16" t="s">
        <v>40</v>
      </c>
      <c r="E16" t="s">
        <v>18</v>
      </c>
      <c r="F16" t="s">
        <v>88</v>
      </c>
      <c r="G16">
        <v>20</v>
      </c>
      <c r="H16">
        <v>144998</v>
      </c>
    </row>
    <row r="17" spans="1:8" x14ac:dyDescent="0.3">
      <c r="A17" s="7" t="s">
        <v>64</v>
      </c>
      <c r="B17" t="s">
        <v>65</v>
      </c>
      <c r="C17" t="s">
        <v>66</v>
      </c>
      <c r="D17" t="s">
        <v>23</v>
      </c>
      <c r="E17" t="s">
        <v>44</v>
      </c>
      <c r="F17" t="s">
        <v>89</v>
      </c>
      <c r="G17">
        <v>14</v>
      </c>
      <c r="H17">
        <v>108776</v>
      </c>
    </row>
    <row r="18" spans="1:8" x14ac:dyDescent="0.3">
      <c r="A18" s="7" t="s">
        <v>67</v>
      </c>
      <c r="B18" t="s">
        <v>68</v>
      </c>
      <c r="C18" t="s">
        <v>57</v>
      </c>
      <c r="D18" t="s">
        <v>23</v>
      </c>
      <c r="E18" t="s">
        <v>18</v>
      </c>
      <c r="F18" t="s">
        <v>88</v>
      </c>
      <c r="G18">
        <v>6</v>
      </c>
      <c r="H18">
        <v>131725</v>
      </c>
    </row>
    <row r="19" spans="1:8" x14ac:dyDescent="0.3">
      <c r="A19" s="7" t="s">
        <v>69</v>
      </c>
      <c r="B19" t="s">
        <v>70</v>
      </c>
      <c r="C19" t="s">
        <v>71</v>
      </c>
      <c r="D19" t="s">
        <v>11</v>
      </c>
      <c r="E19" t="s">
        <v>18</v>
      </c>
      <c r="F19" t="s">
        <v>89</v>
      </c>
      <c r="G19">
        <v>14</v>
      </c>
      <c r="H19">
        <v>60084</v>
      </c>
    </row>
    <row r="20" spans="1:8" x14ac:dyDescent="0.3">
      <c r="A20" s="7" t="s">
        <v>72</v>
      </c>
      <c r="B20" t="s">
        <v>73</v>
      </c>
      <c r="C20" t="s">
        <v>74</v>
      </c>
      <c r="D20" t="s">
        <v>23</v>
      </c>
      <c r="E20" t="s">
        <v>12</v>
      </c>
      <c r="F20" t="s">
        <v>89</v>
      </c>
      <c r="G20">
        <v>7</v>
      </c>
      <c r="H20">
        <v>48815</v>
      </c>
    </row>
    <row r="21" spans="1:8" x14ac:dyDescent="0.3">
      <c r="A21" s="7" t="s">
        <v>75</v>
      </c>
      <c r="B21" t="s">
        <v>76</v>
      </c>
      <c r="C21" t="s">
        <v>77</v>
      </c>
      <c r="D21" t="s">
        <v>11</v>
      </c>
      <c r="E21" t="s">
        <v>18</v>
      </c>
      <c r="F21" t="s">
        <v>89</v>
      </c>
      <c r="G21">
        <v>17</v>
      </c>
      <c r="H21">
        <v>137304</v>
      </c>
    </row>
    <row r="22" spans="1:8" x14ac:dyDescent="0.3">
      <c r="A22" s="7" t="s">
        <v>78</v>
      </c>
      <c r="B22" t="s">
        <v>79</v>
      </c>
      <c r="C22" t="s">
        <v>22</v>
      </c>
      <c r="D22" t="s">
        <v>23</v>
      </c>
      <c r="E22" t="s">
        <v>44</v>
      </c>
      <c r="F22" t="s">
        <v>88</v>
      </c>
      <c r="G22">
        <v>4</v>
      </c>
      <c r="H22">
        <v>99797</v>
      </c>
    </row>
    <row r="23" spans="1:8" x14ac:dyDescent="0.3">
      <c r="A23" s="7" t="s">
        <v>80</v>
      </c>
      <c r="B23" t="s">
        <v>81</v>
      </c>
      <c r="C23" t="s">
        <v>82</v>
      </c>
      <c r="D23" t="s">
        <v>48</v>
      </c>
      <c r="E23" t="s">
        <v>18</v>
      </c>
      <c r="F23" t="s">
        <v>88</v>
      </c>
      <c r="G23">
        <v>12</v>
      </c>
      <c r="H23">
        <v>91106</v>
      </c>
    </row>
    <row r="24" spans="1:8" x14ac:dyDescent="0.3">
      <c r="A24" s="7" t="s">
        <v>83</v>
      </c>
      <c r="B24" t="s">
        <v>84</v>
      </c>
      <c r="C24" t="s">
        <v>85</v>
      </c>
      <c r="D24" t="s">
        <v>11</v>
      </c>
      <c r="E24" t="s">
        <v>18</v>
      </c>
      <c r="F24" t="s">
        <v>89</v>
      </c>
      <c r="G24">
        <v>17</v>
      </c>
      <c r="H24">
        <v>129379</v>
      </c>
    </row>
    <row r="25" spans="1:8" x14ac:dyDescent="0.3">
      <c r="A25" s="7" t="s">
        <v>86</v>
      </c>
      <c r="B25" t="s">
        <v>87</v>
      </c>
      <c r="C25" t="s">
        <v>59</v>
      </c>
      <c r="D25" t="s">
        <v>40</v>
      </c>
      <c r="E25" t="s">
        <v>44</v>
      </c>
      <c r="F25" t="s">
        <v>89</v>
      </c>
      <c r="G25">
        <v>19</v>
      </c>
      <c r="H25">
        <v>54723</v>
      </c>
    </row>
    <row r="26" spans="1:8" x14ac:dyDescent="0.3">
      <c r="A26" s="7" t="s">
        <v>90</v>
      </c>
      <c r="B26" t="s">
        <v>91</v>
      </c>
      <c r="C26" t="s">
        <v>92</v>
      </c>
      <c r="D26" t="s">
        <v>48</v>
      </c>
      <c r="E26" t="s">
        <v>12</v>
      </c>
      <c r="F26" t="s">
        <v>89</v>
      </c>
      <c r="G26">
        <v>19</v>
      </c>
      <c r="H26">
        <v>148721</v>
      </c>
    </row>
    <row r="27" spans="1:8" x14ac:dyDescent="0.3">
      <c r="A27" s="7" t="s">
        <v>93</v>
      </c>
      <c r="B27" t="s">
        <v>94</v>
      </c>
      <c r="C27" t="s">
        <v>95</v>
      </c>
      <c r="D27" t="s">
        <v>23</v>
      </c>
      <c r="E27" t="s">
        <v>61</v>
      </c>
      <c r="F27" t="s">
        <v>89</v>
      </c>
      <c r="G27">
        <v>15</v>
      </c>
      <c r="H27">
        <v>62799</v>
      </c>
    </row>
    <row r="28" spans="1:8" x14ac:dyDescent="0.3">
      <c r="A28" s="7" t="s">
        <v>96</v>
      </c>
      <c r="B28" t="s">
        <v>97</v>
      </c>
      <c r="C28" t="s">
        <v>98</v>
      </c>
      <c r="D28" t="s">
        <v>23</v>
      </c>
      <c r="E28" t="s">
        <v>18</v>
      </c>
      <c r="F28" t="s">
        <v>89</v>
      </c>
      <c r="G28">
        <v>20</v>
      </c>
      <c r="H28">
        <v>117832</v>
      </c>
    </row>
    <row r="29" spans="1:8" x14ac:dyDescent="0.3">
      <c r="A29" s="7" t="s">
        <v>99</v>
      </c>
      <c r="B29" t="s">
        <v>100</v>
      </c>
      <c r="C29" t="s">
        <v>101</v>
      </c>
      <c r="D29" t="s">
        <v>40</v>
      </c>
      <c r="E29" t="s">
        <v>12</v>
      </c>
      <c r="F29" t="s">
        <v>88</v>
      </c>
      <c r="G29">
        <v>20</v>
      </c>
      <c r="H29">
        <v>131791</v>
      </c>
    </row>
    <row r="30" spans="1:8" x14ac:dyDescent="0.3">
      <c r="A30" s="7" t="s">
        <v>102</v>
      </c>
      <c r="B30" t="s">
        <v>100</v>
      </c>
      <c r="C30" t="s">
        <v>103</v>
      </c>
      <c r="D30" t="s">
        <v>17</v>
      </c>
      <c r="E30" t="s">
        <v>18</v>
      </c>
      <c r="F30" t="s">
        <v>88</v>
      </c>
      <c r="G30">
        <v>10</v>
      </c>
      <c r="H30">
        <v>140489</v>
      </c>
    </row>
    <row r="31" spans="1:8" x14ac:dyDescent="0.3">
      <c r="A31" s="7" t="s">
        <v>104</v>
      </c>
      <c r="B31" t="s">
        <v>105</v>
      </c>
      <c r="C31" t="s">
        <v>106</v>
      </c>
      <c r="D31" t="s">
        <v>27</v>
      </c>
      <c r="E31" t="s">
        <v>18</v>
      </c>
      <c r="F31" t="s">
        <v>89</v>
      </c>
      <c r="G31">
        <v>16</v>
      </c>
      <c r="H31">
        <v>106064</v>
      </c>
    </row>
    <row r="32" spans="1:8" x14ac:dyDescent="0.3">
      <c r="A32" s="7" t="s">
        <v>107</v>
      </c>
      <c r="B32" t="s">
        <v>108</v>
      </c>
      <c r="C32" t="s">
        <v>109</v>
      </c>
      <c r="D32" t="s">
        <v>17</v>
      </c>
      <c r="E32" t="s">
        <v>18</v>
      </c>
      <c r="F32" t="s">
        <v>89</v>
      </c>
      <c r="G32">
        <v>12</v>
      </c>
      <c r="H32">
        <v>104444</v>
      </c>
    </row>
    <row r="33" spans="1:8" x14ac:dyDescent="0.3">
      <c r="A33" s="7" t="s">
        <v>110</v>
      </c>
      <c r="B33" t="s">
        <v>25</v>
      </c>
      <c r="C33" t="s">
        <v>85</v>
      </c>
      <c r="D33" t="s">
        <v>40</v>
      </c>
      <c r="E33" t="s">
        <v>61</v>
      </c>
      <c r="F33" t="s">
        <v>89</v>
      </c>
      <c r="G33">
        <v>15</v>
      </c>
      <c r="H33">
        <v>106961</v>
      </c>
    </row>
    <row r="34" spans="1:8" x14ac:dyDescent="0.3">
      <c r="A34" s="7" t="s">
        <v>111</v>
      </c>
      <c r="B34" t="s">
        <v>112</v>
      </c>
      <c r="C34" t="s">
        <v>113</v>
      </c>
      <c r="D34" t="s">
        <v>17</v>
      </c>
      <c r="E34" t="s">
        <v>61</v>
      </c>
      <c r="F34" t="s">
        <v>88</v>
      </c>
      <c r="G34">
        <v>20</v>
      </c>
      <c r="H34">
        <v>83172</v>
      </c>
    </row>
    <row r="35" spans="1:8" x14ac:dyDescent="0.3">
      <c r="A35" s="7" t="s">
        <v>114</v>
      </c>
      <c r="B35" t="s">
        <v>115</v>
      </c>
      <c r="C35" t="s">
        <v>116</v>
      </c>
      <c r="D35" t="s">
        <v>40</v>
      </c>
      <c r="E35" t="s">
        <v>61</v>
      </c>
      <c r="F35" t="s">
        <v>88</v>
      </c>
      <c r="G35">
        <v>4</v>
      </c>
      <c r="H35">
        <v>78326</v>
      </c>
    </row>
    <row r="36" spans="1:8" x14ac:dyDescent="0.3">
      <c r="A36" s="7" t="s">
        <v>117</v>
      </c>
      <c r="B36" t="s">
        <v>118</v>
      </c>
      <c r="C36" t="s">
        <v>119</v>
      </c>
      <c r="D36" t="s">
        <v>48</v>
      </c>
      <c r="E36" t="s">
        <v>44</v>
      </c>
      <c r="F36" t="s">
        <v>89</v>
      </c>
      <c r="G36">
        <v>19</v>
      </c>
      <c r="H36">
        <v>118586</v>
      </c>
    </row>
    <row r="37" spans="1:8" x14ac:dyDescent="0.3">
      <c r="A37" s="7" t="s">
        <v>120</v>
      </c>
      <c r="B37" t="s">
        <v>121</v>
      </c>
      <c r="C37" t="s">
        <v>122</v>
      </c>
      <c r="D37" t="s">
        <v>48</v>
      </c>
      <c r="E37" t="s">
        <v>61</v>
      </c>
      <c r="F37" t="s">
        <v>89</v>
      </c>
      <c r="G37">
        <v>2</v>
      </c>
      <c r="H37">
        <v>123023</v>
      </c>
    </row>
    <row r="38" spans="1:8" x14ac:dyDescent="0.3">
      <c r="A38" s="7" t="s">
        <v>123</v>
      </c>
      <c r="B38" t="s">
        <v>124</v>
      </c>
      <c r="C38" t="s">
        <v>125</v>
      </c>
      <c r="D38" t="s">
        <v>27</v>
      </c>
      <c r="E38" t="s">
        <v>44</v>
      </c>
      <c r="F38" t="s">
        <v>89</v>
      </c>
      <c r="G38">
        <v>12</v>
      </c>
      <c r="H38">
        <v>76671</v>
      </c>
    </row>
    <row r="39" spans="1:8" x14ac:dyDescent="0.3">
      <c r="A39" s="7" t="s">
        <v>126</v>
      </c>
      <c r="B39" t="s">
        <v>127</v>
      </c>
      <c r="C39" t="s">
        <v>128</v>
      </c>
      <c r="D39" t="s">
        <v>27</v>
      </c>
      <c r="E39" t="s">
        <v>18</v>
      </c>
      <c r="F39" t="s">
        <v>88</v>
      </c>
      <c r="G39">
        <v>19</v>
      </c>
      <c r="H39">
        <v>72081</v>
      </c>
    </row>
    <row r="40" spans="1:8" x14ac:dyDescent="0.3">
      <c r="A40" s="7" t="s">
        <v>129</v>
      </c>
      <c r="B40" t="s">
        <v>130</v>
      </c>
      <c r="C40" t="s">
        <v>131</v>
      </c>
      <c r="D40" t="s">
        <v>11</v>
      </c>
      <c r="E40" t="s">
        <v>12</v>
      </c>
      <c r="F40" t="s">
        <v>89</v>
      </c>
      <c r="G40">
        <v>13</v>
      </c>
      <c r="H40">
        <v>136748</v>
      </c>
    </row>
    <row r="41" spans="1:8" x14ac:dyDescent="0.3">
      <c r="A41" s="7" t="s">
        <v>132</v>
      </c>
      <c r="B41" t="s">
        <v>133</v>
      </c>
      <c r="C41" t="s">
        <v>134</v>
      </c>
      <c r="D41" t="s">
        <v>11</v>
      </c>
      <c r="E41" t="s">
        <v>44</v>
      </c>
      <c r="F41" t="s">
        <v>88</v>
      </c>
      <c r="G41">
        <v>16</v>
      </c>
      <c r="H41">
        <v>91583</v>
      </c>
    </row>
    <row r="42" spans="1:8" x14ac:dyDescent="0.3">
      <c r="A42" s="7" t="s">
        <v>135</v>
      </c>
      <c r="B42" t="s">
        <v>136</v>
      </c>
      <c r="C42" t="s">
        <v>137</v>
      </c>
      <c r="D42" t="s">
        <v>11</v>
      </c>
      <c r="E42" t="s">
        <v>61</v>
      </c>
      <c r="F42" t="s">
        <v>88</v>
      </c>
      <c r="G42">
        <v>7</v>
      </c>
      <c r="H42">
        <v>137305</v>
      </c>
    </row>
    <row r="43" spans="1:8" x14ac:dyDescent="0.3">
      <c r="A43" s="7" t="s">
        <v>138</v>
      </c>
      <c r="B43" t="s">
        <v>139</v>
      </c>
      <c r="C43" t="s">
        <v>140</v>
      </c>
      <c r="D43" t="s">
        <v>27</v>
      </c>
      <c r="E43" t="s">
        <v>12</v>
      </c>
      <c r="F43" t="s">
        <v>88</v>
      </c>
      <c r="G43">
        <v>11</v>
      </c>
      <c r="H43">
        <v>78341</v>
      </c>
    </row>
    <row r="44" spans="1:8" x14ac:dyDescent="0.3">
      <c r="A44" s="7" t="s">
        <v>141</v>
      </c>
      <c r="B44" t="s">
        <v>142</v>
      </c>
      <c r="C44" t="s">
        <v>143</v>
      </c>
      <c r="D44" t="s">
        <v>48</v>
      </c>
      <c r="E44" t="s">
        <v>61</v>
      </c>
      <c r="F44" t="s">
        <v>89</v>
      </c>
      <c r="G44">
        <v>8</v>
      </c>
      <c r="H44">
        <v>79324</v>
      </c>
    </row>
    <row r="45" spans="1:8" x14ac:dyDescent="0.3">
      <c r="A45" s="7" t="s">
        <v>144</v>
      </c>
      <c r="B45" t="s">
        <v>145</v>
      </c>
      <c r="C45" t="s">
        <v>43</v>
      </c>
      <c r="D45" t="s">
        <v>27</v>
      </c>
      <c r="E45" t="s">
        <v>12</v>
      </c>
      <c r="F45" t="s">
        <v>89</v>
      </c>
      <c r="G45">
        <v>11</v>
      </c>
      <c r="H45">
        <v>47852</v>
      </c>
    </row>
    <row r="46" spans="1:8" x14ac:dyDescent="0.3">
      <c r="A46" s="7" t="s">
        <v>146</v>
      </c>
      <c r="B46" t="s">
        <v>147</v>
      </c>
      <c r="C46" t="s">
        <v>148</v>
      </c>
      <c r="D46" t="s">
        <v>27</v>
      </c>
      <c r="E46" t="s">
        <v>18</v>
      </c>
      <c r="F46" t="s">
        <v>89</v>
      </c>
      <c r="G46">
        <v>9</v>
      </c>
      <c r="H46">
        <v>117549</v>
      </c>
    </row>
    <row r="47" spans="1:8" x14ac:dyDescent="0.3">
      <c r="A47" s="7" t="s">
        <v>149</v>
      </c>
      <c r="B47" t="s">
        <v>150</v>
      </c>
      <c r="C47" t="s">
        <v>151</v>
      </c>
      <c r="D47" t="s">
        <v>48</v>
      </c>
      <c r="E47" t="s">
        <v>61</v>
      </c>
      <c r="F47" t="s">
        <v>88</v>
      </c>
      <c r="G47">
        <v>15</v>
      </c>
      <c r="H47">
        <v>145308</v>
      </c>
    </row>
    <row r="48" spans="1:8" x14ac:dyDescent="0.3">
      <c r="A48" s="7" t="s">
        <v>152</v>
      </c>
      <c r="B48" t="s">
        <v>36</v>
      </c>
      <c r="C48" t="s">
        <v>153</v>
      </c>
      <c r="D48" t="s">
        <v>27</v>
      </c>
      <c r="E48" t="s">
        <v>44</v>
      </c>
      <c r="F48" t="s">
        <v>89</v>
      </c>
      <c r="G48">
        <v>9</v>
      </c>
      <c r="H48">
        <v>67663</v>
      </c>
    </row>
    <row r="49" spans="1:8" x14ac:dyDescent="0.3">
      <c r="A49" s="7" t="s">
        <v>154</v>
      </c>
      <c r="B49" t="s">
        <v>155</v>
      </c>
      <c r="C49" t="s">
        <v>71</v>
      </c>
      <c r="D49" t="s">
        <v>27</v>
      </c>
      <c r="E49" t="s">
        <v>18</v>
      </c>
      <c r="F49" t="s">
        <v>88</v>
      </c>
      <c r="G49">
        <v>13</v>
      </c>
      <c r="H49">
        <v>109087</v>
      </c>
    </row>
    <row r="50" spans="1:8" x14ac:dyDescent="0.3">
      <c r="A50" s="7" t="s">
        <v>156</v>
      </c>
      <c r="B50" t="s">
        <v>157</v>
      </c>
      <c r="C50" t="s">
        <v>10</v>
      </c>
      <c r="D50" t="s">
        <v>48</v>
      </c>
      <c r="E50" t="s">
        <v>12</v>
      </c>
      <c r="F50" t="s">
        <v>89</v>
      </c>
      <c r="G50">
        <v>17</v>
      </c>
      <c r="H50">
        <v>73492</v>
      </c>
    </row>
    <row r="51" spans="1:8" x14ac:dyDescent="0.3">
      <c r="A51" s="7" t="s">
        <v>158</v>
      </c>
      <c r="B51" t="s">
        <v>159</v>
      </c>
      <c r="C51" t="s">
        <v>160</v>
      </c>
      <c r="D51" t="s">
        <v>48</v>
      </c>
      <c r="E51" t="s">
        <v>12</v>
      </c>
      <c r="F51" t="s">
        <v>88</v>
      </c>
      <c r="G51">
        <v>11</v>
      </c>
      <c r="H51">
        <v>116781</v>
      </c>
    </row>
    <row r="52" spans="1:8" x14ac:dyDescent="0.3">
      <c r="A52" s="7" t="s">
        <v>161</v>
      </c>
      <c r="B52" t="s">
        <v>162</v>
      </c>
      <c r="C52" t="s">
        <v>163</v>
      </c>
      <c r="D52" t="s">
        <v>48</v>
      </c>
      <c r="E52" t="s">
        <v>44</v>
      </c>
      <c r="F52" t="s">
        <v>89</v>
      </c>
      <c r="G52">
        <v>2</v>
      </c>
      <c r="H52">
        <v>44104</v>
      </c>
    </row>
    <row r="53" spans="1:8" x14ac:dyDescent="0.3">
      <c r="A53" s="7" t="s">
        <v>164</v>
      </c>
      <c r="B53" t="s">
        <v>165</v>
      </c>
      <c r="C53" t="s">
        <v>166</v>
      </c>
      <c r="D53" t="s">
        <v>27</v>
      </c>
      <c r="E53" t="s">
        <v>18</v>
      </c>
      <c r="F53" t="s">
        <v>88</v>
      </c>
      <c r="G53">
        <v>16</v>
      </c>
      <c r="H53">
        <v>54583</v>
      </c>
    </row>
    <row r="54" spans="1:8" x14ac:dyDescent="0.3">
      <c r="A54" s="7" t="s">
        <v>167</v>
      </c>
      <c r="B54" t="s">
        <v>168</v>
      </c>
      <c r="C54" t="s">
        <v>106</v>
      </c>
      <c r="D54" t="s">
        <v>48</v>
      </c>
      <c r="E54" t="s">
        <v>12</v>
      </c>
      <c r="F54" t="s">
        <v>89</v>
      </c>
      <c r="G54">
        <v>16</v>
      </c>
      <c r="H54">
        <v>49609</v>
      </c>
    </row>
    <row r="55" spans="1:8" x14ac:dyDescent="0.3">
      <c r="A55" s="7" t="s">
        <v>169</v>
      </c>
      <c r="B55" t="s">
        <v>170</v>
      </c>
      <c r="C55" t="s">
        <v>26</v>
      </c>
      <c r="D55" t="s">
        <v>40</v>
      </c>
      <c r="E55" t="s">
        <v>18</v>
      </c>
      <c r="F55" t="s">
        <v>89</v>
      </c>
      <c r="G55">
        <v>20</v>
      </c>
      <c r="H55">
        <v>46520</v>
      </c>
    </row>
    <row r="56" spans="1:8" x14ac:dyDescent="0.3">
      <c r="A56" s="7" t="s">
        <v>171</v>
      </c>
      <c r="B56" t="s">
        <v>172</v>
      </c>
      <c r="C56" t="s">
        <v>173</v>
      </c>
      <c r="D56" t="s">
        <v>40</v>
      </c>
      <c r="E56" t="s">
        <v>61</v>
      </c>
      <c r="F56" t="s">
        <v>88</v>
      </c>
      <c r="G56">
        <v>7</v>
      </c>
      <c r="H56">
        <v>87837</v>
      </c>
    </row>
    <row r="57" spans="1:8" x14ac:dyDescent="0.3">
      <c r="A57" s="7" t="s">
        <v>174</v>
      </c>
      <c r="B57" t="s">
        <v>175</v>
      </c>
      <c r="C57" t="s">
        <v>109</v>
      </c>
      <c r="D57" t="s">
        <v>27</v>
      </c>
      <c r="E57" t="s">
        <v>12</v>
      </c>
      <c r="F57" t="s">
        <v>88</v>
      </c>
      <c r="G57">
        <v>17</v>
      </c>
      <c r="H57">
        <v>40012</v>
      </c>
    </row>
    <row r="58" spans="1:8" x14ac:dyDescent="0.3">
      <c r="A58" s="7" t="s">
        <v>176</v>
      </c>
      <c r="B58" t="s">
        <v>177</v>
      </c>
      <c r="C58" t="s">
        <v>92</v>
      </c>
      <c r="D58" t="s">
        <v>40</v>
      </c>
      <c r="E58" t="s">
        <v>18</v>
      </c>
      <c r="F58" t="s">
        <v>88</v>
      </c>
      <c r="G58">
        <v>10</v>
      </c>
      <c r="H58">
        <v>100737</v>
      </c>
    </row>
    <row r="59" spans="1:8" x14ac:dyDescent="0.3">
      <c r="A59" s="7" t="s">
        <v>178</v>
      </c>
      <c r="B59" t="s">
        <v>179</v>
      </c>
      <c r="C59" t="s">
        <v>180</v>
      </c>
      <c r="D59" t="s">
        <v>27</v>
      </c>
      <c r="E59" t="s">
        <v>44</v>
      </c>
      <c r="F59" t="s">
        <v>89</v>
      </c>
      <c r="G59">
        <v>16</v>
      </c>
      <c r="H59">
        <v>99616</v>
      </c>
    </row>
    <row r="60" spans="1:8" x14ac:dyDescent="0.3">
      <c r="A60" s="7" t="s">
        <v>181</v>
      </c>
      <c r="B60" t="s">
        <v>182</v>
      </c>
      <c r="C60" t="s">
        <v>36</v>
      </c>
      <c r="D60" t="s">
        <v>48</v>
      </c>
      <c r="E60" t="s">
        <v>44</v>
      </c>
      <c r="F60" t="s">
        <v>89</v>
      </c>
      <c r="G60">
        <v>9</v>
      </c>
      <c r="H60">
        <v>74441</v>
      </c>
    </row>
    <row r="61" spans="1:8" x14ac:dyDescent="0.3">
      <c r="A61" s="7" t="s">
        <v>183</v>
      </c>
      <c r="B61" t="s">
        <v>184</v>
      </c>
      <c r="C61" t="s">
        <v>185</v>
      </c>
      <c r="D61" t="s">
        <v>48</v>
      </c>
      <c r="E61" t="s">
        <v>18</v>
      </c>
      <c r="F61" t="s">
        <v>89</v>
      </c>
      <c r="G61">
        <v>4</v>
      </c>
      <c r="H61">
        <v>132909</v>
      </c>
    </row>
    <row r="62" spans="1:8" x14ac:dyDescent="0.3">
      <c r="A62" s="7" t="s">
        <v>186</v>
      </c>
      <c r="B62" t="s">
        <v>187</v>
      </c>
      <c r="C62" t="s">
        <v>180</v>
      </c>
      <c r="D62" t="s">
        <v>17</v>
      </c>
      <c r="E62" t="s">
        <v>44</v>
      </c>
      <c r="F62" t="s">
        <v>89</v>
      </c>
      <c r="G62">
        <v>18</v>
      </c>
      <c r="H62">
        <v>117625</v>
      </c>
    </row>
    <row r="63" spans="1:8" x14ac:dyDescent="0.3">
      <c r="A63" s="7" t="s">
        <v>188</v>
      </c>
      <c r="B63" t="s">
        <v>189</v>
      </c>
      <c r="C63" t="s">
        <v>151</v>
      </c>
      <c r="D63" t="s">
        <v>40</v>
      </c>
      <c r="E63" t="s">
        <v>61</v>
      </c>
      <c r="F63" t="s">
        <v>88</v>
      </c>
      <c r="G63">
        <v>10</v>
      </c>
      <c r="H63">
        <v>106332</v>
      </c>
    </row>
    <row r="64" spans="1:8" x14ac:dyDescent="0.3">
      <c r="A64" s="7" t="s">
        <v>190</v>
      </c>
      <c r="B64" t="s">
        <v>131</v>
      </c>
      <c r="C64" t="s">
        <v>191</v>
      </c>
      <c r="D64" t="s">
        <v>11</v>
      </c>
      <c r="E64" t="s">
        <v>18</v>
      </c>
      <c r="F64" t="s">
        <v>89</v>
      </c>
      <c r="G64">
        <v>15</v>
      </c>
      <c r="H64">
        <v>131724</v>
      </c>
    </row>
    <row r="65" spans="1:8" x14ac:dyDescent="0.3">
      <c r="A65" s="7" t="s">
        <v>192</v>
      </c>
      <c r="B65" t="s">
        <v>193</v>
      </c>
      <c r="C65" t="s">
        <v>194</v>
      </c>
      <c r="D65" t="s">
        <v>11</v>
      </c>
      <c r="E65" t="s">
        <v>44</v>
      </c>
      <c r="F65" t="s">
        <v>89</v>
      </c>
      <c r="G65">
        <v>14</v>
      </c>
      <c r="H65">
        <v>115738</v>
      </c>
    </row>
    <row r="66" spans="1:8" x14ac:dyDescent="0.3">
      <c r="A66" s="7" t="s">
        <v>195</v>
      </c>
      <c r="B66" t="s">
        <v>145</v>
      </c>
      <c r="C66" t="s">
        <v>196</v>
      </c>
      <c r="D66" t="s">
        <v>11</v>
      </c>
      <c r="E66" t="s">
        <v>61</v>
      </c>
      <c r="F66" t="s">
        <v>89</v>
      </c>
      <c r="G66">
        <v>15</v>
      </c>
      <c r="H66">
        <v>43693</v>
      </c>
    </row>
    <row r="67" spans="1:8" x14ac:dyDescent="0.3">
      <c r="A67" s="7" t="s">
        <v>197</v>
      </c>
      <c r="B67" t="s">
        <v>198</v>
      </c>
      <c r="C67" t="s">
        <v>199</v>
      </c>
      <c r="D67" t="s">
        <v>11</v>
      </c>
      <c r="E67" t="s">
        <v>18</v>
      </c>
      <c r="F67" t="s">
        <v>89</v>
      </c>
      <c r="G67">
        <v>6</v>
      </c>
      <c r="H67">
        <v>53221</v>
      </c>
    </row>
    <row r="68" spans="1:8" x14ac:dyDescent="0.3">
      <c r="A68" s="7" t="s">
        <v>200</v>
      </c>
      <c r="B68" t="s">
        <v>201</v>
      </c>
      <c r="C68" t="s">
        <v>202</v>
      </c>
      <c r="D68" t="s">
        <v>23</v>
      </c>
      <c r="E68" t="s">
        <v>12</v>
      </c>
      <c r="F68" t="s">
        <v>89</v>
      </c>
      <c r="G68">
        <v>5</v>
      </c>
      <c r="H68">
        <v>122120</v>
      </c>
    </row>
    <row r="69" spans="1:8" x14ac:dyDescent="0.3">
      <c r="A69" s="7" t="s">
        <v>203</v>
      </c>
      <c r="B69" t="s">
        <v>204</v>
      </c>
      <c r="C69" t="s">
        <v>26</v>
      </c>
      <c r="D69" t="s">
        <v>48</v>
      </c>
      <c r="E69" t="s">
        <v>18</v>
      </c>
      <c r="F69" t="s">
        <v>89</v>
      </c>
      <c r="G69">
        <v>9</v>
      </c>
      <c r="H69">
        <v>142285</v>
      </c>
    </row>
    <row r="70" spans="1:8" x14ac:dyDescent="0.3">
      <c r="A70" s="7" t="s">
        <v>205</v>
      </c>
      <c r="B70" t="s">
        <v>206</v>
      </c>
      <c r="C70" t="s">
        <v>207</v>
      </c>
      <c r="D70" t="s">
        <v>23</v>
      </c>
      <c r="E70" t="s">
        <v>44</v>
      </c>
      <c r="F70" t="s">
        <v>89</v>
      </c>
      <c r="G70">
        <v>11</v>
      </c>
      <c r="H70">
        <v>125508</v>
      </c>
    </row>
    <row r="71" spans="1:8" x14ac:dyDescent="0.3">
      <c r="A71" s="7" t="s">
        <v>208</v>
      </c>
      <c r="B71" t="s">
        <v>209</v>
      </c>
      <c r="C71" t="s">
        <v>191</v>
      </c>
      <c r="D71" t="s">
        <v>17</v>
      </c>
      <c r="E71" t="s">
        <v>18</v>
      </c>
      <c r="F71" t="s">
        <v>88</v>
      </c>
      <c r="G71">
        <v>13</v>
      </c>
      <c r="H71">
        <v>124920</v>
      </c>
    </row>
    <row r="72" spans="1:8" x14ac:dyDescent="0.3">
      <c r="A72" s="7" t="s">
        <v>210</v>
      </c>
      <c r="B72" t="s">
        <v>211</v>
      </c>
      <c r="C72" t="s">
        <v>212</v>
      </c>
      <c r="D72" t="s">
        <v>48</v>
      </c>
      <c r="E72" t="s">
        <v>44</v>
      </c>
      <c r="F72" t="s">
        <v>88</v>
      </c>
      <c r="G72">
        <v>14</v>
      </c>
      <c r="H72">
        <v>66059</v>
      </c>
    </row>
    <row r="73" spans="1:8" x14ac:dyDescent="0.3">
      <c r="A73" s="7" t="s">
        <v>213</v>
      </c>
      <c r="B73" t="s">
        <v>214</v>
      </c>
      <c r="C73" t="s">
        <v>160</v>
      </c>
      <c r="D73" t="s">
        <v>27</v>
      </c>
      <c r="E73" t="s">
        <v>61</v>
      </c>
      <c r="F73" t="s">
        <v>88</v>
      </c>
      <c r="G73">
        <v>14</v>
      </c>
      <c r="H73">
        <v>74783</v>
      </c>
    </row>
    <row r="74" spans="1:8" x14ac:dyDescent="0.3">
      <c r="A74" s="7" t="s">
        <v>215</v>
      </c>
      <c r="B74" t="s">
        <v>216</v>
      </c>
      <c r="C74" t="s">
        <v>217</v>
      </c>
      <c r="D74" t="s">
        <v>40</v>
      </c>
      <c r="E74" t="s">
        <v>18</v>
      </c>
      <c r="F74" t="s">
        <v>88</v>
      </c>
      <c r="G74">
        <v>13</v>
      </c>
      <c r="H74">
        <v>75495</v>
      </c>
    </row>
    <row r="75" spans="1:8" x14ac:dyDescent="0.3">
      <c r="A75" s="7" t="s">
        <v>218</v>
      </c>
      <c r="B75" t="s">
        <v>219</v>
      </c>
      <c r="C75" t="s">
        <v>106</v>
      </c>
      <c r="D75" t="s">
        <v>11</v>
      </c>
      <c r="E75" t="s">
        <v>61</v>
      </c>
      <c r="F75" t="s">
        <v>89</v>
      </c>
      <c r="G75">
        <v>16</v>
      </c>
      <c r="H75">
        <v>111782</v>
      </c>
    </row>
    <row r="76" spans="1:8" x14ac:dyDescent="0.3">
      <c r="A76" s="7" t="s">
        <v>220</v>
      </c>
      <c r="B76" t="s">
        <v>221</v>
      </c>
      <c r="C76" t="s">
        <v>54</v>
      </c>
      <c r="D76" t="s">
        <v>27</v>
      </c>
      <c r="E76" t="s">
        <v>61</v>
      </c>
      <c r="F76" t="s">
        <v>89</v>
      </c>
      <c r="G76">
        <v>20</v>
      </c>
      <c r="H76">
        <v>122916</v>
      </c>
    </row>
    <row r="77" spans="1:8" x14ac:dyDescent="0.3">
      <c r="A77" s="7" t="s">
        <v>222</v>
      </c>
      <c r="B77" t="s">
        <v>223</v>
      </c>
      <c r="C77" t="s">
        <v>224</v>
      </c>
      <c r="D77" t="s">
        <v>11</v>
      </c>
      <c r="E77" t="s">
        <v>61</v>
      </c>
      <c r="F77" t="s">
        <v>88</v>
      </c>
      <c r="G77">
        <v>10</v>
      </c>
      <c r="H77">
        <v>118193</v>
      </c>
    </row>
    <row r="78" spans="1:8" x14ac:dyDescent="0.3">
      <c r="A78" s="7" t="s">
        <v>225</v>
      </c>
      <c r="B78" t="s">
        <v>226</v>
      </c>
      <c r="C78" t="s">
        <v>227</v>
      </c>
      <c r="D78" t="s">
        <v>40</v>
      </c>
      <c r="E78" t="s">
        <v>12</v>
      </c>
      <c r="F78" t="s">
        <v>88</v>
      </c>
      <c r="G78">
        <v>14</v>
      </c>
      <c r="H78">
        <v>83808</v>
      </c>
    </row>
    <row r="79" spans="1:8" x14ac:dyDescent="0.3">
      <c r="A79" s="7" t="s">
        <v>228</v>
      </c>
      <c r="B79" t="s">
        <v>229</v>
      </c>
      <c r="C79" t="s">
        <v>230</v>
      </c>
      <c r="D79" t="s">
        <v>11</v>
      </c>
      <c r="E79" t="s">
        <v>12</v>
      </c>
      <c r="F79" t="s">
        <v>88</v>
      </c>
      <c r="G79">
        <v>14</v>
      </c>
      <c r="H79">
        <v>104460</v>
      </c>
    </row>
    <row r="80" spans="1:8" x14ac:dyDescent="0.3">
      <c r="A80" s="7" t="s">
        <v>231</v>
      </c>
      <c r="B80" t="s">
        <v>232</v>
      </c>
      <c r="C80" t="s">
        <v>47</v>
      </c>
      <c r="D80" t="s">
        <v>48</v>
      </c>
      <c r="E80" t="s">
        <v>18</v>
      </c>
      <c r="F80" t="s">
        <v>88</v>
      </c>
      <c r="G80">
        <v>6</v>
      </c>
      <c r="H80">
        <v>142447</v>
      </c>
    </row>
    <row r="81" spans="1:8" x14ac:dyDescent="0.3">
      <c r="A81" s="7" t="s">
        <v>233</v>
      </c>
      <c r="B81" t="s">
        <v>234</v>
      </c>
      <c r="C81" t="s">
        <v>77</v>
      </c>
      <c r="D81" t="s">
        <v>40</v>
      </c>
      <c r="E81" t="s">
        <v>18</v>
      </c>
      <c r="F81" t="s">
        <v>89</v>
      </c>
      <c r="G81">
        <v>2</v>
      </c>
      <c r="H81">
        <v>57293</v>
      </c>
    </row>
    <row r="82" spans="1:8" x14ac:dyDescent="0.3">
      <c r="A82" s="7" t="s">
        <v>235</v>
      </c>
      <c r="B82" t="s">
        <v>236</v>
      </c>
      <c r="C82" t="s">
        <v>43</v>
      </c>
      <c r="D82" t="s">
        <v>11</v>
      </c>
      <c r="E82" t="s">
        <v>44</v>
      </c>
      <c r="F82" t="s">
        <v>88</v>
      </c>
      <c r="G82">
        <v>18</v>
      </c>
      <c r="H82">
        <v>40966</v>
      </c>
    </row>
    <row r="83" spans="1:8" x14ac:dyDescent="0.3">
      <c r="A83" s="7" t="s">
        <v>237</v>
      </c>
      <c r="B83" t="s">
        <v>238</v>
      </c>
      <c r="C83" t="s">
        <v>30</v>
      </c>
      <c r="D83" t="s">
        <v>17</v>
      </c>
      <c r="E83" t="s">
        <v>44</v>
      </c>
      <c r="F83" t="s">
        <v>89</v>
      </c>
      <c r="G83">
        <v>18</v>
      </c>
      <c r="H83">
        <v>136828</v>
      </c>
    </row>
    <row r="84" spans="1:8" x14ac:dyDescent="0.3">
      <c r="A84" s="7" t="s">
        <v>239</v>
      </c>
      <c r="B84" t="s">
        <v>240</v>
      </c>
      <c r="C84" t="s">
        <v>241</v>
      </c>
      <c r="D84" t="s">
        <v>23</v>
      </c>
      <c r="E84" t="s">
        <v>18</v>
      </c>
      <c r="F84" t="s">
        <v>89</v>
      </c>
      <c r="G84">
        <v>1</v>
      </c>
      <c r="H84">
        <v>103601</v>
      </c>
    </row>
    <row r="85" spans="1:8" x14ac:dyDescent="0.3">
      <c r="A85" s="7" t="s">
        <v>242</v>
      </c>
      <c r="B85" t="s">
        <v>243</v>
      </c>
      <c r="C85" t="s">
        <v>244</v>
      </c>
      <c r="D85" t="s">
        <v>40</v>
      </c>
      <c r="E85" t="s">
        <v>12</v>
      </c>
      <c r="F85" t="s">
        <v>88</v>
      </c>
      <c r="G85">
        <v>4</v>
      </c>
      <c r="H85">
        <v>52957</v>
      </c>
    </row>
    <row r="86" spans="1:8" x14ac:dyDescent="0.3">
      <c r="A86" s="7" t="s">
        <v>245</v>
      </c>
      <c r="B86" t="s">
        <v>246</v>
      </c>
      <c r="C86" t="s">
        <v>241</v>
      </c>
      <c r="D86" t="s">
        <v>11</v>
      </c>
      <c r="E86" t="s">
        <v>18</v>
      </c>
      <c r="F86" t="s">
        <v>89</v>
      </c>
      <c r="G86">
        <v>18</v>
      </c>
      <c r="H86">
        <v>102739</v>
      </c>
    </row>
    <row r="87" spans="1:8" x14ac:dyDescent="0.3">
      <c r="A87" s="7" t="s">
        <v>247</v>
      </c>
      <c r="B87" t="s">
        <v>248</v>
      </c>
      <c r="C87" t="s">
        <v>185</v>
      </c>
      <c r="D87" t="s">
        <v>40</v>
      </c>
      <c r="E87" t="s">
        <v>18</v>
      </c>
      <c r="F87" t="s">
        <v>88</v>
      </c>
      <c r="G87">
        <v>7</v>
      </c>
      <c r="H87">
        <v>73961</v>
      </c>
    </row>
    <row r="88" spans="1:8" x14ac:dyDescent="0.3">
      <c r="A88" s="7" t="s">
        <v>249</v>
      </c>
      <c r="B88" t="s">
        <v>250</v>
      </c>
      <c r="C88" t="s">
        <v>39</v>
      </c>
      <c r="D88" t="s">
        <v>48</v>
      </c>
      <c r="E88" t="s">
        <v>12</v>
      </c>
      <c r="F88" t="s">
        <v>88</v>
      </c>
      <c r="G88">
        <v>18</v>
      </c>
      <c r="H88">
        <v>93384</v>
      </c>
    </row>
    <row r="89" spans="1:8" x14ac:dyDescent="0.3">
      <c r="A89" s="7" t="s">
        <v>251</v>
      </c>
      <c r="B89" t="s">
        <v>252</v>
      </c>
      <c r="C89" t="s">
        <v>153</v>
      </c>
      <c r="D89" t="s">
        <v>27</v>
      </c>
      <c r="E89" t="s">
        <v>12</v>
      </c>
      <c r="F89" t="s">
        <v>89</v>
      </c>
      <c r="G89">
        <v>12</v>
      </c>
      <c r="H89">
        <v>120575</v>
      </c>
    </row>
    <row r="90" spans="1:8" x14ac:dyDescent="0.3">
      <c r="A90" s="7" t="s">
        <v>253</v>
      </c>
      <c r="B90" t="s">
        <v>254</v>
      </c>
      <c r="C90" t="s">
        <v>51</v>
      </c>
      <c r="D90" t="s">
        <v>40</v>
      </c>
      <c r="E90" t="s">
        <v>12</v>
      </c>
      <c r="F90" t="s">
        <v>88</v>
      </c>
      <c r="G90">
        <v>20</v>
      </c>
      <c r="H90">
        <v>93692</v>
      </c>
    </row>
    <row r="91" spans="1:8" x14ac:dyDescent="0.3">
      <c r="A91" s="7" t="s">
        <v>255</v>
      </c>
      <c r="B91" t="s">
        <v>256</v>
      </c>
      <c r="C91" t="s">
        <v>113</v>
      </c>
      <c r="D91" t="s">
        <v>27</v>
      </c>
      <c r="E91" t="s">
        <v>61</v>
      </c>
      <c r="F91" t="s">
        <v>89</v>
      </c>
      <c r="G91">
        <v>16</v>
      </c>
      <c r="H91">
        <v>91522</v>
      </c>
    </row>
    <row r="92" spans="1:8" x14ac:dyDescent="0.3">
      <c r="A92" s="7" t="s">
        <v>257</v>
      </c>
      <c r="B92" t="s">
        <v>258</v>
      </c>
      <c r="C92" t="s">
        <v>60</v>
      </c>
      <c r="D92" t="s">
        <v>48</v>
      </c>
      <c r="E92" t="s">
        <v>12</v>
      </c>
      <c r="F92" t="s">
        <v>89</v>
      </c>
      <c r="G92">
        <v>20</v>
      </c>
      <c r="H92">
        <v>87966</v>
      </c>
    </row>
    <row r="93" spans="1:8" x14ac:dyDescent="0.3">
      <c r="A93" s="7" t="s">
        <v>259</v>
      </c>
      <c r="B93" t="s">
        <v>260</v>
      </c>
      <c r="C93" t="s">
        <v>160</v>
      </c>
      <c r="D93" t="s">
        <v>23</v>
      </c>
      <c r="E93" t="s">
        <v>61</v>
      </c>
      <c r="F93" t="s">
        <v>88</v>
      </c>
      <c r="G93">
        <v>20</v>
      </c>
      <c r="H93">
        <v>109396</v>
      </c>
    </row>
    <row r="94" spans="1:8" x14ac:dyDescent="0.3">
      <c r="A94" s="7" t="s">
        <v>261</v>
      </c>
      <c r="B94" t="s">
        <v>262</v>
      </c>
      <c r="C94" t="s">
        <v>43</v>
      </c>
      <c r="D94" t="s">
        <v>40</v>
      </c>
      <c r="E94" t="s">
        <v>44</v>
      </c>
      <c r="F94" t="s">
        <v>89</v>
      </c>
      <c r="G94">
        <v>6</v>
      </c>
      <c r="H94">
        <v>64243</v>
      </c>
    </row>
    <row r="95" spans="1:8" x14ac:dyDescent="0.3">
      <c r="A95" s="7" t="s">
        <v>263</v>
      </c>
      <c r="B95" t="s">
        <v>264</v>
      </c>
      <c r="C95" t="s">
        <v>163</v>
      </c>
      <c r="D95" t="s">
        <v>17</v>
      </c>
      <c r="E95" t="s">
        <v>61</v>
      </c>
      <c r="F95" t="s">
        <v>88</v>
      </c>
      <c r="G95">
        <v>7</v>
      </c>
      <c r="H95">
        <v>123602</v>
      </c>
    </row>
    <row r="96" spans="1:8" x14ac:dyDescent="0.3">
      <c r="A96" s="7" t="s">
        <v>265</v>
      </c>
      <c r="B96" t="s">
        <v>266</v>
      </c>
      <c r="C96" t="s">
        <v>267</v>
      </c>
      <c r="D96" t="s">
        <v>17</v>
      </c>
      <c r="E96" t="s">
        <v>44</v>
      </c>
      <c r="F96" t="s">
        <v>89</v>
      </c>
      <c r="G96">
        <v>6</v>
      </c>
      <c r="H96">
        <v>123056</v>
      </c>
    </row>
    <row r="97" spans="1:8" x14ac:dyDescent="0.3">
      <c r="A97" s="7" t="s">
        <v>268</v>
      </c>
      <c r="B97" t="s">
        <v>269</v>
      </c>
      <c r="C97" t="s">
        <v>30</v>
      </c>
      <c r="D97" t="s">
        <v>17</v>
      </c>
      <c r="E97" t="s">
        <v>12</v>
      </c>
      <c r="F97" t="s">
        <v>88</v>
      </c>
      <c r="G97">
        <v>6</v>
      </c>
      <c r="H97">
        <v>92906</v>
      </c>
    </row>
    <row r="98" spans="1:8" x14ac:dyDescent="0.3">
      <c r="A98" s="7" t="s">
        <v>270</v>
      </c>
      <c r="B98" t="s">
        <v>271</v>
      </c>
      <c r="C98" t="s">
        <v>43</v>
      </c>
      <c r="D98" t="s">
        <v>27</v>
      </c>
      <c r="E98" t="s">
        <v>61</v>
      </c>
      <c r="F98" t="s">
        <v>89</v>
      </c>
      <c r="G98">
        <v>8</v>
      </c>
      <c r="H98">
        <v>64956</v>
      </c>
    </row>
    <row r="99" spans="1:8" x14ac:dyDescent="0.3">
      <c r="A99" s="7" t="s">
        <v>272</v>
      </c>
      <c r="B99" t="s">
        <v>56</v>
      </c>
      <c r="C99" t="s">
        <v>143</v>
      </c>
      <c r="D99" t="s">
        <v>11</v>
      </c>
      <c r="E99" t="s">
        <v>18</v>
      </c>
      <c r="F99" t="s">
        <v>89</v>
      </c>
      <c r="G99">
        <v>11</v>
      </c>
      <c r="H99">
        <v>119764</v>
      </c>
    </row>
    <row r="100" spans="1:8" x14ac:dyDescent="0.3">
      <c r="A100" s="7" t="s">
        <v>273</v>
      </c>
      <c r="B100" t="s">
        <v>274</v>
      </c>
      <c r="C100" t="s">
        <v>103</v>
      </c>
      <c r="D100" t="s">
        <v>27</v>
      </c>
      <c r="E100" t="s">
        <v>44</v>
      </c>
      <c r="F100" t="s">
        <v>89</v>
      </c>
      <c r="G100">
        <v>1</v>
      </c>
      <c r="H100">
        <v>76522</v>
      </c>
    </row>
    <row r="101" spans="1:8" x14ac:dyDescent="0.3">
      <c r="A101" s="7" t="s">
        <v>275</v>
      </c>
      <c r="B101" t="s">
        <v>276</v>
      </c>
      <c r="C101" t="s">
        <v>277</v>
      </c>
      <c r="D101" t="s">
        <v>17</v>
      </c>
      <c r="E101" t="s">
        <v>18</v>
      </c>
      <c r="F101" t="s">
        <v>88</v>
      </c>
      <c r="G101">
        <v>12</v>
      </c>
      <c r="H101">
        <v>63238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2025-12-21T06:25:54Z</dcterms:created>
  <dcterms:modified xsi:type="dcterms:W3CDTF">2025-12-21T07:03:40Z</dcterms:modified>
</cp:coreProperties>
</file>