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8_{64FD55B5-E391-462F-95C1-4545F2E11839}" xr6:coauthVersionLast="47" xr6:coauthVersionMax="47" xr10:uidLastSave="{00000000-0000-0000-0000-000000000000}"/>
  <bookViews>
    <workbookView xWindow="-108" yWindow="-108" windowWidth="23256" windowHeight="12456" activeTab="5" xr2:uid="{575AE2C1-5650-4042-B0FC-8009471E7594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</sheets>
  <definedNames>
    <definedName name="_xlnm._FilterDatabase" localSheetId="4" hidden="1">'4'!$A$3:$F$11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6" l="1"/>
  <c r="J5" i="6"/>
  <c r="J6" i="6"/>
  <c r="J8" i="6"/>
  <c r="J9" i="6"/>
  <c r="J4" i="6"/>
  <c r="L4" i="5"/>
  <c r="L5" i="5"/>
  <c r="L6" i="5"/>
  <c r="L7" i="5"/>
  <c r="L8" i="5"/>
  <c r="L9" i="5"/>
  <c r="L3" i="5"/>
  <c r="K4" i="5"/>
  <c r="K5" i="5"/>
  <c r="K6" i="5"/>
  <c r="K7" i="5"/>
  <c r="K8" i="5"/>
  <c r="K9" i="5"/>
  <c r="K3" i="5"/>
  <c r="E25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7" i="4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4" i="3"/>
  <c r="O5" i="2"/>
  <c r="O6" i="2"/>
  <c r="O7" i="2"/>
  <c r="O8" i="2"/>
  <c r="O9" i="2"/>
  <c r="O10" i="2"/>
  <c r="O11" i="2"/>
  <c r="O12" i="2"/>
  <c r="O13" i="2"/>
  <c r="O14" i="2"/>
  <c r="O15" i="2"/>
  <c r="O4" i="2"/>
  <c r="N5" i="2"/>
  <c r="N6" i="2"/>
  <c r="N7" i="2"/>
  <c r="N8" i="2"/>
  <c r="N9" i="2"/>
  <c r="N10" i="2"/>
  <c r="N11" i="2"/>
  <c r="N12" i="2"/>
  <c r="N13" i="2"/>
  <c r="N14" i="2"/>
  <c r="N15" i="2"/>
  <c r="N4" i="2"/>
</calcChain>
</file>

<file path=xl/sharedStrings.xml><?xml version="1.0" encoding="utf-8"?>
<sst xmlns="http://schemas.openxmlformats.org/spreadsheetml/2006/main" count="309" uniqueCount="65">
  <si>
    <t>VLOOKUP</t>
  </si>
  <si>
    <t>Linking data from multiple files and tables</t>
  </si>
  <si>
    <t>Syntax</t>
  </si>
  <si>
    <t>VLOOKUP(lookup_value, table_array, col_index_num, [range_lookup])</t>
  </si>
  <si>
    <t>lookup_value : Whom / For which value we finding value</t>
  </si>
  <si>
    <t>Find value for</t>
  </si>
  <si>
    <t>table_array: Where / Data source</t>
  </si>
  <si>
    <t>col_index_num: Column number</t>
  </si>
  <si>
    <t>Column number</t>
  </si>
  <si>
    <t>[range_lookup]: Exact match or not?</t>
  </si>
  <si>
    <t>True/FAlse</t>
  </si>
  <si>
    <t>Notes</t>
  </si>
  <si>
    <t>Lookup value must be present in first column in table array</t>
  </si>
  <si>
    <t>If Duplicate Lookup value present in table array it gives first occurrence only</t>
  </si>
  <si>
    <t>Works Left to right</t>
  </si>
  <si>
    <t>Column index should be positive</t>
  </si>
  <si>
    <t>Make sure table array reference should be fixed</t>
  </si>
  <si>
    <t>Roll No</t>
  </si>
  <si>
    <t>First Name</t>
  </si>
  <si>
    <t>Last Name</t>
  </si>
  <si>
    <t>Full Name</t>
  </si>
  <si>
    <t>Physics</t>
  </si>
  <si>
    <t>Chemistry</t>
  </si>
  <si>
    <t>Mathematics</t>
  </si>
  <si>
    <t>Aarav</t>
  </si>
  <si>
    <t>Patil</t>
  </si>
  <si>
    <t>Aarav Patil</t>
  </si>
  <si>
    <t>Vihaan</t>
  </si>
  <si>
    <t>Deshmukh</t>
  </si>
  <si>
    <t>Vihaan Deshmukh</t>
  </si>
  <si>
    <t>Ayaan</t>
  </si>
  <si>
    <t>Jadhav</t>
  </si>
  <si>
    <t>Ayaan Jadhav</t>
  </si>
  <si>
    <t>Arjun</t>
  </si>
  <si>
    <t>More</t>
  </si>
  <si>
    <t>Arjun More</t>
  </si>
  <si>
    <t>Reyansh</t>
  </si>
  <si>
    <t>Joshi</t>
  </si>
  <si>
    <t>Reyansh Joshi</t>
  </si>
  <si>
    <t>Vivaan</t>
  </si>
  <si>
    <t>Nair</t>
  </si>
  <si>
    <t>Vivaan Nair</t>
  </si>
  <si>
    <t>Aditya</t>
  </si>
  <si>
    <t>Pawar</t>
  </si>
  <si>
    <t>Aditya Pawar</t>
  </si>
  <si>
    <t>Rohan</t>
  </si>
  <si>
    <t>Suryavanshi</t>
  </si>
  <si>
    <t>Rohan Suryavanshi</t>
  </si>
  <si>
    <t>Krish</t>
  </si>
  <si>
    <t>Bhosale</t>
  </si>
  <si>
    <t>Krish Bhosale</t>
  </si>
  <si>
    <t>Samarth</t>
  </si>
  <si>
    <t>Shinde</t>
  </si>
  <si>
    <t>Samarth Shinde</t>
  </si>
  <si>
    <t>chemistry</t>
  </si>
  <si>
    <t>mathematics</t>
  </si>
  <si>
    <t>Reference should be fixed why?</t>
  </si>
  <si>
    <t>physics</t>
  </si>
  <si>
    <t>vlookup not work here</t>
  </si>
  <si>
    <t>Name</t>
  </si>
  <si>
    <t>chem</t>
  </si>
  <si>
    <t>VLOOKUP is not case-sensitive</t>
  </si>
  <si>
    <t>AARAV PATIL</t>
  </si>
  <si>
    <t>AYAAN JADHAV</t>
  </si>
  <si>
    <t>VIHAAN DESHMUKH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</si>
</sst>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9" borderId="0" xfId="0" applyFont="1" applyFill="1"/>
    <xf numFmtId="0" fontId="0" fillId="0" borderId="0" xfId="0"/>
    <xf numFmtId="16" fontId="0" fillId="0" borderId="0" xfId="0" applyNumberFormat="1"/>
    <xf numFmtId="0" fontId="0" fillId="0" borderId="0" xfId="0"/>
    <xf numFmtId="0" fontId="0" fillId="2" borderId="0" xfId="0" applyFill="1"/>
    <xf numFmtId="0" fontId="1" fillId="0" borderId="0" xfId="0" applyFont="1"/>
    <xf numFmtId="0" fontId="0" fillId="7" borderId="0" xfId="0" applyFill="1"/>
    <xf numFmtId="0" fontId="0" fillId="9" borderId="0" xfId="0" applyFill="1"/>
    <xf numFmtId="0" fontId="1" fillId="10" borderId="0" xfId="0" applyFont="1" applyFill="1"/>
    <xf numFmtId="0" fontId="0" fillId="10" borderId="0" xfId="0" applyFill="1"/>
    <xf numFmtId="0" fontId="1" fillId="5" borderId="0" xfId="0" applyFont="1" applyFill="1"/>
    <xf numFmtId="0" fontId="0" fillId="0" borderId="0" xfId="0"/>
    <xf numFmtId="0" fontId="1" fillId="0" borderId="0" xfId="0" applyFont="1"/>
    <xf numFmtId="0" fontId="0" fillId="5" borderId="0" xfId="0" applyFill="1"/>
    <xf numFmtId="0" fontId="3" fillId="0" borderId="0" xfId="0" applyFont="1"/>
    <xf numFmtId="0" fontId="0" fillId="0" borderId="0" xfId="0"/>
    <xf numFmtId="0" fontId="3" fillId="0" borderId="0" xfId="0" applyFont="1"/>
    <xf numFmtId="0" fontId="0" fillId="5" borderId="0" xfId="0" applyFill="1" applyAlignment="1">
      <alignment horizontal="center"/>
    </xf>
    <xf numFmtId="0" fontId="0" fillId="0" borderId="0" xfId="0"/>
    <xf numFmtId="0" fontId="1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0" fillId="8" borderId="0" xfId="0" applyFill="1"/>
    <xf numFmtId="0" fontId="1" fillId="11" borderId="0" xfId="0" applyFont="1" applyFill="1" applyAlignment="1">
      <alignment vertical="center"/>
    </xf>
    <xf numFmtId="0" fontId="0" fillId="11" borderId="0" xfId="0" applyFill="1"/>
    <xf numFmtId="0" fontId="1" fillId="8" borderId="0" xfId="0" applyFont="1" applyFill="1" applyAlignment="1">
      <alignment vertical="center"/>
    </xf>
    <xf numFmtId="0" fontId="0" fillId="0" borderId="0" xfId="0"/>
    <xf numFmtId="0" fontId="2" fillId="0" borderId="0" xfId="0" applyFont="1"/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/>
    <xf numFmtId="0" fontId="1" fillId="12" borderId="0" xfId="0" applyFont="1" applyFill="1"/>
    <xf numFmtId="0" fontId="0" fillId="12" borderId="0" xfId="0" applyFill="1"/>
    <xf numFmtId="0" fontId="0" fillId="0" borderId="0" xfId="0" applyFill="1"/>
    <xf numFmtId="0" fontId="0" fillId="0" borderId="0" xfId="0"/>
    <xf numFmtId="0" fontId="0" fillId="2" borderId="0" xfId="0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F197-59A3-4488-9965-A198312F997C}">
  <dimension ref="A1:C18"/>
  <sheetViews>
    <sheetView workbookViewId="0">
      <selection activeCell="F13" sqref="F13"/>
    </sheetView>
  </sheetViews>
  <sheetFormatPr defaultRowHeight="14.4" x14ac:dyDescent="0.3"/>
  <cols>
    <col min="1" max="1" width="9" bestFit="1" customWidth="1"/>
    <col min="2" max="2" width="63.77734375" bestFit="1" customWidth="1"/>
    <col min="3" max="3" width="14" bestFit="1" customWidth="1"/>
  </cols>
  <sheetData>
    <row r="1" spans="1:3" x14ac:dyDescent="0.3">
      <c r="A1" s="2" t="s">
        <v>0</v>
      </c>
      <c r="B1" s="2" t="s">
        <v>1</v>
      </c>
      <c r="C1" s="2"/>
    </row>
    <row r="3" spans="1:3" x14ac:dyDescent="0.3">
      <c r="A3" s="2" t="s">
        <v>2</v>
      </c>
      <c r="B3" s="2" t="s">
        <v>3</v>
      </c>
      <c r="C3" s="2"/>
    </row>
    <row r="7" spans="1:3" x14ac:dyDescent="0.3">
      <c r="A7" s="2"/>
      <c r="B7" s="2" t="s">
        <v>3</v>
      </c>
      <c r="C7" s="2"/>
    </row>
    <row r="8" spans="1:3" x14ac:dyDescent="0.3">
      <c r="A8" s="2"/>
      <c r="B8" s="2" t="s">
        <v>4</v>
      </c>
      <c r="C8" s="3" t="s">
        <v>5</v>
      </c>
    </row>
    <row r="9" spans="1:3" x14ac:dyDescent="0.3">
      <c r="A9" s="2"/>
      <c r="B9" s="2" t="s">
        <v>6</v>
      </c>
      <c r="C9" s="2"/>
    </row>
    <row r="10" spans="1:3" x14ac:dyDescent="0.3">
      <c r="A10" s="2"/>
      <c r="B10" s="2" t="s">
        <v>7</v>
      </c>
      <c r="C10" s="2" t="s">
        <v>8</v>
      </c>
    </row>
    <row r="11" spans="1:3" x14ac:dyDescent="0.3">
      <c r="A11" s="2"/>
      <c r="B11" s="2" t="s">
        <v>9</v>
      </c>
      <c r="C11" s="2" t="s">
        <v>10</v>
      </c>
    </row>
    <row r="14" spans="1:3" x14ac:dyDescent="0.3">
      <c r="A14" s="2" t="s">
        <v>11</v>
      </c>
      <c r="B14" s="2" t="s">
        <v>12</v>
      </c>
      <c r="C14" s="2"/>
    </row>
    <row r="15" spans="1:3" x14ac:dyDescent="0.3">
      <c r="A15" s="2"/>
      <c r="B15" s="2" t="s">
        <v>13</v>
      </c>
      <c r="C15" s="2"/>
    </row>
    <row r="16" spans="1:3" x14ac:dyDescent="0.3">
      <c r="A16" s="2"/>
      <c r="B16" s="2" t="s">
        <v>14</v>
      </c>
      <c r="C16" s="2"/>
    </row>
    <row r="17" spans="2:2" x14ac:dyDescent="0.3">
      <c r="B17" s="2" t="s">
        <v>15</v>
      </c>
    </row>
    <row r="18" spans="2:2" x14ac:dyDescent="0.3">
      <c r="B18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8DF2-FD8D-4204-96DD-D75B5BC28F87}">
  <dimension ref="A1:O20"/>
  <sheetViews>
    <sheetView workbookViewId="0">
      <selection activeCell="C25" sqref="C25"/>
    </sheetView>
  </sheetViews>
  <sheetFormatPr defaultRowHeight="14.4" x14ac:dyDescent="0.3"/>
  <cols>
    <col min="2" max="2" width="9.88671875" bestFit="1" customWidth="1"/>
    <col min="3" max="3" width="10.5546875" bestFit="1" customWidth="1"/>
    <col min="4" max="4" width="16.33203125" bestFit="1" customWidth="1"/>
    <col min="6" max="6" width="9.44140625" bestFit="1" customWidth="1"/>
    <col min="7" max="7" width="12" bestFit="1" customWidth="1"/>
    <col min="10" max="10" width="7" bestFit="1" customWidth="1"/>
    <col min="11" max="11" width="9.88671875" bestFit="1" customWidth="1"/>
    <col min="12" max="12" width="10.5546875" bestFit="1" customWidth="1"/>
    <col min="13" max="13" width="16.33203125" bestFit="1" customWidth="1"/>
    <col min="15" max="15" width="11.88671875" bestFit="1" customWidth="1"/>
  </cols>
  <sheetData>
    <row r="1" spans="1:15" x14ac:dyDescent="0.3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</row>
    <row r="2" spans="1:15" x14ac:dyDescent="0.3">
      <c r="A2" s="4">
        <v>1</v>
      </c>
      <c r="B2" s="5" t="s">
        <v>24</v>
      </c>
      <c r="C2" s="5" t="s">
        <v>25</v>
      </c>
      <c r="D2" s="5" t="s">
        <v>26</v>
      </c>
      <c r="E2" s="4">
        <v>78</v>
      </c>
      <c r="F2" s="7">
        <v>90</v>
      </c>
      <c r="G2" s="4">
        <v>34</v>
      </c>
    </row>
    <row r="3" spans="1:15" x14ac:dyDescent="0.3">
      <c r="A3" s="4">
        <v>2</v>
      </c>
      <c r="B3" s="4" t="s">
        <v>27</v>
      </c>
      <c r="C3" s="4" t="s">
        <v>28</v>
      </c>
      <c r="D3" s="4" t="s">
        <v>29</v>
      </c>
      <c r="E3" s="4">
        <v>33</v>
      </c>
      <c r="F3" s="4">
        <v>44</v>
      </c>
      <c r="G3" s="4">
        <v>32</v>
      </c>
      <c r="J3" s="6" t="s">
        <v>17</v>
      </c>
      <c r="K3" s="6" t="s">
        <v>18</v>
      </c>
      <c r="L3" s="6" t="s">
        <v>19</v>
      </c>
      <c r="M3" s="6" t="s">
        <v>20</v>
      </c>
      <c r="N3" s="1" t="s">
        <v>54</v>
      </c>
      <c r="O3" s="9" t="s">
        <v>55</v>
      </c>
    </row>
    <row r="4" spans="1:15" x14ac:dyDescent="0.3">
      <c r="A4" s="4">
        <v>3</v>
      </c>
      <c r="B4" s="4" t="s">
        <v>30</v>
      </c>
      <c r="C4" s="4" t="s">
        <v>31</v>
      </c>
      <c r="D4" s="4" t="s">
        <v>32</v>
      </c>
      <c r="E4" s="4">
        <v>75</v>
      </c>
      <c r="F4" s="4">
        <v>88</v>
      </c>
      <c r="G4" s="4">
        <v>84</v>
      </c>
      <c r="J4" s="4">
        <v>1</v>
      </c>
      <c r="K4" s="5" t="s">
        <v>24</v>
      </c>
      <c r="L4" s="5" t="s">
        <v>25</v>
      </c>
      <c r="M4" s="5" t="s">
        <v>26</v>
      </c>
      <c r="N4" s="8">
        <f>VLOOKUP(M4,D2:G2,3,0)</f>
        <v>90</v>
      </c>
      <c r="O4" s="10">
        <f>VLOOKUP(M4,D2:G2,4)</f>
        <v>34</v>
      </c>
    </row>
    <row r="5" spans="1:15" x14ac:dyDescent="0.3">
      <c r="A5" s="4">
        <v>4</v>
      </c>
      <c r="B5" s="4" t="s">
        <v>33</v>
      </c>
      <c r="C5" s="4" t="s">
        <v>34</v>
      </c>
      <c r="D5" s="4" t="s">
        <v>35</v>
      </c>
      <c r="E5" s="4">
        <v>89</v>
      </c>
      <c r="F5" s="4">
        <v>91</v>
      </c>
      <c r="G5" s="4">
        <v>78</v>
      </c>
      <c r="J5" s="4">
        <v>2</v>
      </c>
      <c r="K5" s="4" t="s">
        <v>27</v>
      </c>
      <c r="L5" s="4" t="s">
        <v>28</v>
      </c>
      <c r="M5" s="4" t="s">
        <v>29</v>
      </c>
      <c r="N5" s="8">
        <f t="shared" ref="N5:N15" si="0">VLOOKUP(M5,D3:G3,3,0)</f>
        <v>44</v>
      </c>
      <c r="O5" s="10">
        <f t="shared" ref="O5:O15" si="1">VLOOKUP(M5,D3:G3,4)</f>
        <v>32</v>
      </c>
    </row>
    <row r="6" spans="1:15" x14ac:dyDescent="0.3">
      <c r="A6" s="4">
        <v>5</v>
      </c>
      <c r="B6" s="4" t="s">
        <v>36</v>
      </c>
      <c r="C6" s="4" t="s">
        <v>37</v>
      </c>
      <c r="D6" s="4" t="s">
        <v>38</v>
      </c>
      <c r="E6" s="4">
        <v>80</v>
      </c>
      <c r="F6" s="4">
        <v>22</v>
      </c>
      <c r="G6" s="4">
        <v>85</v>
      </c>
      <c r="J6" s="4">
        <v>3</v>
      </c>
      <c r="K6" s="4" t="s">
        <v>30</v>
      </c>
      <c r="L6" s="4" t="s">
        <v>31</v>
      </c>
      <c r="M6" s="4" t="s">
        <v>32</v>
      </c>
      <c r="N6" s="8">
        <f t="shared" si="0"/>
        <v>88</v>
      </c>
      <c r="O6" s="10">
        <f t="shared" si="1"/>
        <v>84</v>
      </c>
    </row>
    <row r="7" spans="1:15" x14ac:dyDescent="0.3">
      <c r="A7" s="4">
        <v>6</v>
      </c>
      <c r="B7" s="4" t="s">
        <v>39</v>
      </c>
      <c r="C7" s="4" t="s">
        <v>40</v>
      </c>
      <c r="D7" s="4" t="s">
        <v>41</v>
      </c>
      <c r="E7" s="4">
        <v>83</v>
      </c>
      <c r="F7" s="4">
        <v>79</v>
      </c>
      <c r="G7" s="4">
        <v>90</v>
      </c>
      <c r="J7" s="4">
        <v>4</v>
      </c>
      <c r="K7" s="4" t="s">
        <v>33</v>
      </c>
      <c r="L7" s="4" t="s">
        <v>34</v>
      </c>
      <c r="M7" s="4" t="s">
        <v>35</v>
      </c>
      <c r="N7" s="8">
        <f t="shared" si="0"/>
        <v>91</v>
      </c>
      <c r="O7" s="10">
        <f t="shared" si="1"/>
        <v>78</v>
      </c>
    </row>
    <row r="8" spans="1:15" x14ac:dyDescent="0.3">
      <c r="A8" s="4">
        <v>7</v>
      </c>
      <c r="B8" s="4" t="s">
        <v>42</v>
      </c>
      <c r="C8" s="4" t="s">
        <v>43</v>
      </c>
      <c r="D8" s="4" t="s">
        <v>44</v>
      </c>
      <c r="E8" s="4">
        <v>88</v>
      </c>
      <c r="F8" s="4">
        <v>76</v>
      </c>
      <c r="G8" s="4">
        <v>91</v>
      </c>
      <c r="J8" s="4">
        <v>5</v>
      </c>
      <c r="K8" s="4" t="s">
        <v>36</v>
      </c>
      <c r="L8" s="4" t="s">
        <v>37</v>
      </c>
      <c r="M8" s="4" t="s">
        <v>38</v>
      </c>
      <c r="N8" s="8">
        <f t="shared" si="0"/>
        <v>22</v>
      </c>
      <c r="O8" s="10">
        <f t="shared" si="1"/>
        <v>85</v>
      </c>
    </row>
    <row r="9" spans="1:15" x14ac:dyDescent="0.3">
      <c r="A9" s="4">
        <v>8</v>
      </c>
      <c r="B9" s="4" t="s">
        <v>45</v>
      </c>
      <c r="C9" s="4" t="s">
        <v>46</v>
      </c>
      <c r="D9" s="4" t="s">
        <v>47</v>
      </c>
      <c r="E9" s="4">
        <v>82</v>
      </c>
      <c r="F9" s="4">
        <v>90</v>
      </c>
      <c r="G9" s="4">
        <v>86</v>
      </c>
      <c r="J9" s="4">
        <v>6</v>
      </c>
      <c r="K9" s="4" t="s">
        <v>39</v>
      </c>
      <c r="L9" s="4" t="s">
        <v>40</v>
      </c>
      <c r="M9" s="4" t="s">
        <v>41</v>
      </c>
      <c r="N9" s="8">
        <f t="shared" si="0"/>
        <v>79</v>
      </c>
      <c r="O9" s="10">
        <f t="shared" si="1"/>
        <v>90</v>
      </c>
    </row>
    <row r="10" spans="1:15" x14ac:dyDescent="0.3">
      <c r="A10" s="4">
        <v>9</v>
      </c>
      <c r="B10" s="4" t="s">
        <v>48</v>
      </c>
      <c r="C10" s="4" t="s">
        <v>49</v>
      </c>
      <c r="D10" s="4" t="s">
        <v>50</v>
      </c>
      <c r="E10" s="4">
        <v>85</v>
      </c>
      <c r="F10" s="4">
        <v>83</v>
      </c>
      <c r="G10" s="4">
        <v>89</v>
      </c>
      <c r="J10" s="4">
        <v>7</v>
      </c>
      <c r="K10" s="4" t="s">
        <v>42</v>
      </c>
      <c r="L10" s="4" t="s">
        <v>43</v>
      </c>
      <c r="M10" s="4" t="s">
        <v>44</v>
      </c>
      <c r="N10" s="8">
        <f t="shared" si="0"/>
        <v>76</v>
      </c>
      <c r="O10" s="10">
        <f t="shared" si="1"/>
        <v>91</v>
      </c>
    </row>
    <row r="11" spans="1:15" x14ac:dyDescent="0.3">
      <c r="A11" s="4">
        <v>10</v>
      </c>
      <c r="B11" s="4" t="s">
        <v>51</v>
      </c>
      <c r="C11" s="4" t="s">
        <v>52</v>
      </c>
      <c r="D11" s="4" t="s">
        <v>53</v>
      </c>
      <c r="E11" s="4">
        <v>79</v>
      </c>
      <c r="F11" s="4">
        <v>87</v>
      </c>
      <c r="G11" s="4">
        <v>88</v>
      </c>
      <c r="J11" s="4">
        <v>8</v>
      </c>
      <c r="K11" s="4" t="s">
        <v>45</v>
      </c>
      <c r="L11" s="4" t="s">
        <v>46</v>
      </c>
      <c r="M11" s="4" t="s">
        <v>47</v>
      </c>
      <c r="N11" s="8">
        <f t="shared" si="0"/>
        <v>90</v>
      </c>
      <c r="O11" s="10">
        <f t="shared" si="1"/>
        <v>86</v>
      </c>
    </row>
    <row r="12" spans="1:15" x14ac:dyDescent="0.3">
      <c r="A12" s="4">
        <v>11</v>
      </c>
      <c r="B12" s="4" t="s">
        <v>24</v>
      </c>
      <c r="C12" s="4" t="s">
        <v>25</v>
      </c>
      <c r="D12" s="4" t="s">
        <v>26</v>
      </c>
      <c r="E12" s="4">
        <v>78</v>
      </c>
      <c r="F12" s="4">
        <v>90</v>
      </c>
      <c r="G12" s="4">
        <v>92</v>
      </c>
      <c r="J12" s="4">
        <v>9</v>
      </c>
      <c r="K12" s="4" t="s">
        <v>48</v>
      </c>
      <c r="L12" s="4" t="s">
        <v>49</v>
      </c>
      <c r="M12" s="4" t="s">
        <v>50</v>
      </c>
      <c r="N12" s="8">
        <f t="shared" si="0"/>
        <v>83</v>
      </c>
      <c r="O12" s="10">
        <f t="shared" si="1"/>
        <v>89</v>
      </c>
    </row>
    <row r="13" spans="1:15" x14ac:dyDescent="0.3">
      <c r="A13" s="4">
        <v>12</v>
      </c>
      <c r="B13" s="4" t="s">
        <v>27</v>
      </c>
      <c r="C13" s="4" t="s">
        <v>28</v>
      </c>
      <c r="D13" s="4" t="s">
        <v>29</v>
      </c>
      <c r="E13" s="4">
        <v>81</v>
      </c>
      <c r="F13" s="4">
        <v>85</v>
      </c>
      <c r="G13" s="4">
        <v>89</v>
      </c>
      <c r="J13" s="4">
        <v>10</v>
      </c>
      <c r="K13" s="4" t="s">
        <v>51</v>
      </c>
      <c r="L13" s="4" t="s">
        <v>52</v>
      </c>
      <c r="M13" s="4" t="s">
        <v>53</v>
      </c>
      <c r="N13" s="8">
        <f t="shared" si="0"/>
        <v>87</v>
      </c>
      <c r="O13" s="10">
        <f t="shared" si="1"/>
        <v>88</v>
      </c>
    </row>
    <row r="14" spans="1:15" x14ac:dyDescent="0.3">
      <c r="A14" s="4">
        <v>13</v>
      </c>
      <c r="B14" s="4" t="s">
        <v>30</v>
      </c>
      <c r="C14" s="4" t="s">
        <v>31</v>
      </c>
      <c r="D14" s="4" t="s">
        <v>32</v>
      </c>
      <c r="E14" s="4">
        <v>75</v>
      </c>
      <c r="F14" s="4">
        <v>88</v>
      </c>
      <c r="G14" s="4">
        <v>84</v>
      </c>
      <c r="J14" s="4">
        <v>11</v>
      </c>
      <c r="K14" s="4" t="s">
        <v>24</v>
      </c>
      <c r="L14" s="4" t="s">
        <v>25</v>
      </c>
      <c r="M14" s="4" t="s">
        <v>26</v>
      </c>
      <c r="N14" s="8">
        <f t="shared" si="0"/>
        <v>90</v>
      </c>
      <c r="O14" s="10">
        <f t="shared" si="1"/>
        <v>92</v>
      </c>
    </row>
    <row r="15" spans="1:15" x14ac:dyDescent="0.3">
      <c r="A15" s="4">
        <v>14</v>
      </c>
      <c r="B15" s="4" t="s">
        <v>33</v>
      </c>
      <c r="C15" s="4" t="s">
        <v>34</v>
      </c>
      <c r="D15" s="4" t="s">
        <v>35</v>
      </c>
      <c r="E15" s="4">
        <v>89</v>
      </c>
      <c r="F15" s="4">
        <v>91</v>
      </c>
      <c r="G15" s="4">
        <v>78</v>
      </c>
      <c r="J15" s="4">
        <v>12</v>
      </c>
      <c r="K15" s="4" t="s">
        <v>27</v>
      </c>
      <c r="L15" s="4" t="s">
        <v>28</v>
      </c>
      <c r="M15" s="4" t="s">
        <v>29</v>
      </c>
      <c r="N15" s="8">
        <f t="shared" si="0"/>
        <v>85</v>
      </c>
      <c r="O15" s="10">
        <f t="shared" si="1"/>
        <v>89</v>
      </c>
    </row>
    <row r="16" spans="1:15" x14ac:dyDescent="0.3">
      <c r="A16" s="4">
        <v>15</v>
      </c>
      <c r="B16" s="4" t="s">
        <v>36</v>
      </c>
      <c r="C16" s="4" t="s">
        <v>37</v>
      </c>
      <c r="D16" s="4" t="s">
        <v>38</v>
      </c>
      <c r="E16" s="4">
        <v>80</v>
      </c>
      <c r="F16" s="4">
        <v>84</v>
      </c>
      <c r="G16" s="4">
        <v>85</v>
      </c>
    </row>
    <row r="17" spans="1:7" x14ac:dyDescent="0.3">
      <c r="A17" s="4">
        <v>16</v>
      </c>
      <c r="B17" s="4" t="s">
        <v>39</v>
      </c>
      <c r="C17" s="4" t="s">
        <v>40</v>
      </c>
      <c r="D17" s="4" t="s">
        <v>41</v>
      </c>
      <c r="E17" s="4">
        <v>83</v>
      </c>
      <c r="F17" s="4">
        <v>79</v>
      </c>
      <c r="G17" s="4">
        <v>90</v>
      </c>
    </row>
    <row r="18" spans="1:7" x14ac:dyDescent="0.3">
      <c r="A18" s="4">
        <v>17</v>
      </c>
      <c r="B18" s="4" t="s">
        <v>42</v>
      </c>
      <c r="C18" s="4" t="s">
        <v>43</v>
      </c>
      <c r="D18" s="4" t="s">
        <v>44</v>
      </c>
      <c r="E18" s="4">
        <v>88</v>
      </c>
      <c r="F18" s="4">
        <v>76</v>
      </c>
      <c r="G18" s="4">
        <v>91</v>
      </c>
    </row>
    <row r="19" spans="1:7" x14ac:dyDescent="0.3">
      <c r="A19" s="4">
        <v>18</v>
      </c>
      <c r="B19" s="4" t="s">
        <v>45</v>
      </c>
      <c r="C19" s="4" t="s">
        <v>46</v>
      </c>
      <c r="D19" s="4" t="s">
        <v>47</v>
      </c>
      <c r="E19" s="4">
        <v>82</v>
      </c>
      <c r="F19" s="4">
        <v>90</v>
      </c>
      <c r="G19" s="4">
        <v>86</v>
      </c>
    </row>
    <row r="20" spans="1:7" x14ac:dyDescent="0.3">
      <c r="A20" s="4">
        <v>19</v>
      </c>
      <c r="B20" s="4" t="s">
        <v>48</v>
      </c>
      <c r="C20" s="4" t="s">
        <v>49</v>
      </c>
      <c r="D20" s="4" t="s">
        <v>50</v>
      </c>
      <c r="E20" s="4">
        <v>85</v>
      </c>
      <c r="F20" s="4">
        <v>83</v>
      </c>
      <c r="G20" s="4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0F01-0A8C-46CC-9441-CF272A19A719}">
  <dimension ref="A1:M23"/>
  <sheetViews>
    <sheetView topLeftCell="A7" workbookViewId="0">
      <selection activeCell="P11" sqref="P11"/>
    </sheetView>
  </sheetViews>
  <sheetFormatPr defaultColWidth="10.109375" defaultRowHeight="14.4" x14ac:dyDescent="0.3"/>
  <sheetData>
    <row r="1" spans="1:13" x14ac:dyDescent="0.3">
      <c r="A1" s="15" t="s">
        <v>56</v>
      </c>
      <c r="B1" s="12"/>
      <c r="C1" s="12"/>
      <c r="D1" s="12"/>
      <c r="E1" s="12"/>
      <c r="F1" s="12"/>
      <c r="G1" s="12"/>
    </row>
    <row r="2" spans="1:13" x14ac:dyDescent="0.3">
      <c r="A2" s="12"/>
      <c r="B2" s="12"/>
      <c r="C2" s="12"/>
      <c r="D2" s="12"/>
      <c r="E2" s="12"/>
      <c r="F2" s="12"/>
      <c r="G2" s="12"/>
    </row>
    <row r="3" spans="1:13" x14ac:dyDescent="0.3">
      <c r="A3" s="13" t="s">
        <v>17</v>
      </c>
      <c r="B3" s="13" t="s">
        <v>18</v>
      </c>
      <c r="C3" s="13" t="s">
        <v>19</v>
      </c>
      <c r="D3" s="13" t="s">
        <v>21</v>
      </c>
      <c r="E3" s="13" t="s">
        <v>22</v>
      </c>
      <c r="F3" s="13" t="s">
        <v>23</v>
      </c>
      <c r="G3" s="12"/>
      <c r="I3" s="13" t="s">
        <v>17</v>
      </c>
      <c r="J3" s="13" t="s">
        <v>18</v>
      </c>
      <c r="K3" s="13" t="s">
        <v>19</v>
      </c>
      <c r="L3" s="9" t="s">
        <v>54</v>
      </c>
      <c r="M3" s="11" t="s">
        <v>57</v>
      </c>
    </row>
    <row r="4" spans="1:13" x14ac:dyDescent="0.3">
      <c r="A4" s="12">
        <v>1</v>
      </c>
      <c r="B4" s="12" t="s">
        <v>24</v>
      </c>
      <c r="C4" s="12" t="s">
        <v>25</v>
      </c>
      <c r="D4" s="12">
        <v>78</v>
      </c>
      <c r="E4" s="12">
        <v>90</v>
      </c>
      <c r="F4" s="12">
        <v>34</v>
      </c>
      <c r="G4" s="12"/>
      <c r="I4" s="12">
        <v>1</v>
      </c>
      <c r="J4" s="12" t="s">
        <v>24</v>
      </c>
      <c r="K4" s="12" t="s">
        <v>25</v>
      </c>
      <c r="L4" s="10">
        <f>VLOOKUP(I4,$A$3:$F$22,5,0)</f>
        <v>90</v>
      </c>
      <c r="M4" s="14">
        <f>VLOOKUP(I4,$A$3:$F$16,4,0)</f>
        <v>78</v>
      </c>
    </row>
    <row r="5" spans="1:13" x14ac:dyDescent="0.3">
      <c r="A5" s="12">
        <v>2</v>
      </c>
      <c r="B5" s="12" t="s">
        <v>27</v>
      </c>
      <c r="C5" s="12" t="s">
        <v>28</v>
      </c>
      <c r="D5" s="12">
        <v>33</v>
      </c>
      <c r="E5" s="12">
        <v>44</v>
      </c>
      <c r="F5" s="12">
        <v>32</v>
      </c>
      <c r="G5" s="12"/>
      <c r="I5" s="12">
        <v>2</v>
      </c>
      <c r="J5" s="12" t="s">
        <v>27</v>
      </c>
      <c r="K5" s="12" t="s">
        <v>28</v>
      </c>
      <c r="L5" s="10">
        <f t="shared" ref="L5:L22" si="0">VLOOKUP(I5,$A$3:$F$22,5,0)</f>
        <v>44</v>
      </c>
      <c r="M5" s="14">
        <f t="shared" ref="M5:M22" si="1">VLOOKUP(I5,$A$3:$F$16,4,0)</f>
        <v>33</v>
      </c>
    </row>
    <row r="6" spans="1:13" x14ac:dyDescent="0.3">
      <c r="A6" s="12">
        <v>3</v>
      </c>
      <c r="B6" s="12" t="s">
        <v>30</v>
      </c>
      <c r="C6" s="12" t="s">
        <v>31</v>
      </c>
      <c r="D6" s="12">
        <v>75</v>
      </c>
      <c r="E6" s="12">
        <v>88</v>
      </c>
      <c r="F6" s="12">
        <v>84</v>
      </c>
      <c r="G6" s="12"/>
      <c r="I6" s="12">
        <v>3</v>
      </c>
      <c r="J6" s="12" t="s">
        <v>30</v>
      </c>
      <c r="K6" s="12" t="s">
        <v>31</v>
      </c>
      <c r="L6" s="10">
        <f t="shared" si="0"/>
        <v>88</v>
      </c>
      <c r="M6" s="14">
        <f t="shared" si="1"/>
        <v>75</v>
      </c>
    </row>
    <row r="7" spans="1:13" x14ac:dyDescent="0.3">
      <c r="A7" s="12">
        <v>4</v>
      </c>
      <c r="B7" s="12" t="s">
        <v>33</v>
      </c>
      <c r="C7" s="12" t="s">
        <v>34</v>
      </c>
      <c r="D7" s="12">
        <v>89</v>
      </c>
      <c r="E7" s="12">
        <v>91</v>
      </c>
      <c r="F7" s="12">
        <v>78</v>
      </c>
      <c r="G7" s="12"/>
      <c r="I7" s="12">
        <v>4</v>
      </c>
      <c r="J7" s="12" t="s">
        <v>33</v>
      </c>
      <c r="K7" s="12" t="s">
        <v>34</v>
      </c>
      <c r="L7" s="10">
        <f t="shared" si="0"/>
        <v>91</v>
      </c>
      <c r="M7" s="14">
        <f t="shared" si="1"/>
        <v>89</v>
      </c>
    </row>
    <row r="8" spans="1:13" x14ac:dyDescent="0.3">
      <c r="A8" s="12">
        <v>5</v>
      </c>
      <c r="B8" s="12" t="s">
        <v>36</v>
      </c>
      <c r="C8" s="12" t="s">
        <v>37</v>
      </c>
      <c r="D8" s="12">
        <v>80</v>
      </c>
      <c r="E8" s="12">
        <v>22</v>
      </c>
      <c r="F8" s="12">
        <v>85</v>
      </c>
      <c r="G8" s="12"/>
      <c r="I8" s="12">
        <v>5</v>
      </c>
      <c r="J8" s="12" t="s">
        <v>36</v>
      </c>
      <c r="K8" s="12" t="s">
        <v>37</v>
      </c>
      <c r="L8" s="10">
        <f t="shared" si="0"/>
        <v>22</v>
      </c>
      <c r="M8" s="14">
        <f t="shared" si="1"/>
        <v>80</v>
      </c>
    </row>
    <row r="9" spans="1:13" x14ac:dyDescent="0.3">
      <c r="A9" s="12">
        <v>6</v>
      </c>
      <c r="B9" s="12" t="s">
        <v>39</v>
      </c>
      <c r="C9" s="12" t="s">
        <v>40</v>
      </c>
      <c r="D9" s="12">
        <v>83</v>
      </c>
      <c r="E9" s="12">
        <v>79</v>
      </c>
      <c r="F9" s="12">
        <v>90</v>
      </c>
      <c r="G9" s="12"/>
      <c r="I9" s="12">
        <v>6</v>
      </c>
      <c r="J9" s="12" t="s">
        <v>39</v>
      </c>
      <c r="K9" s="12" t="s">
        <v>40</v>
      </c>
      <c r="L9" s="10">
        <f t="shared" si="0"/>
        <v>79</v>
      </c>
      <c r="M9" s="14">
        <f t="shared" si="1"/>
        <v>83</v>
      </c>
    </row>
    <row r="10" spans="1:13" x14ac:dyDescent="0.3">
      <c r="A10" s="12">
        <v>7</v>
      </c>
      <c r="B10" s="12" t="s">
        <v>42</v>
      </c>
      <c r="C10" s="12" t="s">
        <v>43</v>
      </c>
      <c r="D10" s="12">
        <v>88</v>
      </c>
      <c r="E10" s="12">
        <v>76</v>
      </c>
      <c r="F10" s="12">
        <v>91</v>
      </c>
      <c r="G10" s="12"/>
      <c r="I10" s="12">
        <v>7</v>
      </c>
      <c r="J10" s="12" t="s">
        <v>42</v>
      </c>
      <c r="K10" s="12" t="s">
        <v>43</v>
      </c>
      <c r="L10" s="10">
        <f t="shared" si="0"/>
        <v>76</v>
      </c>
      <c r="M10" s="14">
        <f t="shared" si="1"/>
        <v>88</v>
      </c>
    </row>
    <row r="11" spans="1:13" x14ac:dyDescent="0.3">
      <c r="A11" s="12">
        <v>8</v>
      </c>
      <c r="B11" s="12" t="s">
        <v>45</v>
      </c>
      <c r="C11" s="12" t="s">
        <v>46</v>
      </c>
      <c r="D11" s="12">
        <v>82</v>
      </c>
      <c r="E11" s="12">
        <v>90</v>
      </c>
      <c r="F11" s="12">
        <v>86</v>
      </c>
      <c r="G11" s="12"/>
      <c r="I11" s="12">
        <v>8</v>
      </c>
      <c r="J11" s="12" t="s">
        <v>45</v>
      </c>
      <c r="K11" s="12" t="s">
        <v>46</v>
      </c>
      <c r="L11" s="10">
        <f t="shared" si="0"/>
        <v>90</v>
      </c>
      <c r="M11" s="14">
        <f t="shared" si="1"/>
        <v>82</v>
      </c>
    </row>
    <row r="12" spans="1:13" x14ac:dyDescent="0.3">
      <c r="A12" s="12">
        <v>9</v>
      </c>
      <c r="B12" s="12" t="s">
        <v>48</v>
      </c>
      <c r="C12" s="12" t="s">
        <v>49</v>
      </c>
      <c r="D12" s="12">
        <v>85</v>
      </c>
      <c r="E12" s="12">
        <v>83</v>
      </c>
      <c r="F12" s="12">
        <v>89</v>
      </c>
      <c r="G12" s="12"/>
      <c r="I12" s="12">
        <v>9</v>
      </c>
      <c r="J12" s="12" t="s">
        <v>48</v>
      </c>
      <c r="K12" s="12" t="s">
        <v>49</v>
      </c>
      <c r="L12" s="10">
        <f t="shared" si="0"/>
        <v>83</v>
      </c>
      <c r="M12" s="14">
        <f t="shared" si="1"/>
        <v>85</v>
      </c>
    </row>
    <row r="13" spans="1:13" x14ac:dyDescent="0.3">
      <c r="A13" s="12">
        <v>10</v>
      </c>
      <c r="B13" s="12" t="s">
        <v>51</v>
      </c>
      <c r="C13" s="12" t="s">
        <v>52</v>
      </c>
      <c r="D13" s="12">
        <v>79</v>
      </c>
      <c r="E13" s="12">
        <v>87</v>
      </c>
      <c r="F13" s="12">
        <v>88</v>
      </c>
      <c r="G13" s="12"/>
      <c r="I13" s="12">
        <v>10</v>
      </c>
      <c r="J13" s="12" t="s">
        <v>51</v>
      </c>
      <c r="K13" s="12" t="s">
        <v>52</v>
      </c>
      <c r="L13" s="10">
        <f t="shared" si="0"/>
        <v>87</v>
      </c>
      <c r="M13" s="14">
        <f t="shared" si="1"/>
        <v>79</v>
      </c>
    </row>
    <row r="14" spans="1:13" x14ac:dyDescent="0.3">
      <c r="A14" s="12">
        <v>11</v>
      </c>
      <c r="B14" s="12" t="s">
        <v>24</v>
      </c>
      <c r="C14" s="12" t="s">
        <v>25</v>
      </c>
      <c r="D14" s="12">
        <v>78</v>
      </c>
      <c r="E14" s="12">
        <v>90</v>
      </c>
      <c r="F14" s="12">
        <v>92</v>
      </c>
      <c r="G14" s="12"/>
      <c r="I14" s="12">
        <v>11</v>
      </c>
      <c r="J14" s="12" t="s">
        <v>24</v>
      </c>
      <c r="K14" s="12" t="s">
        <v>25</v>
      </c>
      <c r="L14" s="10">
        <f t="shared" si="0"/>
        <v>90</v>
      </c>
      <c r="M14" s="14">
        <f t="shared" si="1"/>
        <v>78</v>
      </c>
    </row>
    <row r="15" spans="1:13" x14ac:dyDescent="0.3">
      <c r="A15" s="12">
        <v>12</v>
      </c>
      <c r="B15" s="12" t="s">
        <v>27</v>
      </c>
      <c r="C15" s="12" t="s">
        <v>28</v>
      </c>
      <c r="D15" s="12">
        <v>81</v>
      </c>
      <c r="E15" s="12">
        <v>85</v>
      </c>
      <c r="F15" s="12">
        <v>89</v>
      </c>
      <c r="G15" s="12"/>
      <c r="I15" s="12">
        <v>12</v>
      </c>
      <c r="J15" s="12" t="s">
        <v>27</v>
      </c>
      <c r="K15" s="12" t="s">
        <v>28</v>
      </c>
      <c r="L15" s="10">
        <f t="shared" si="0"/>
        <v>85</v>
      </c>
      <c r="M15" s="14">
        <f t="shared" si="1"/>
        <v>81</v>
      </c>
    </row>
    <row r="16" spans="1:13" x14ac:dyDescent="0.3">
      <c r="A16" s="12">
        <v>13</v>
      </c>
      <c r="B16" s="12" t="s">
        <v>30</v>
      </c>
      <c r="C16" s="12" t="s">
        <v>31</v>
      </c>
      <c r="D16" s="12">
        <v>75</v>
      </c>
      <c r="E16" s="12">
        <v>88</v>
      </c>
      <c r="F16" s="12">
        <v>84</v>
      </c>
      <c r="G16" s="12"/>
      <c r="I16" s="12">
        <v>13</v>
      </c>
      <c r="J16" s="12" t="s">
        <v>30</v>
      </c>
      <c r="K16" s="12" t="s">
        <v>31</v>
      </c>
      <c r="L16" s="10">
        <f t="shared" si="0"/>
        <v>88</v>
      </c>
      <c r="M16" s="14">
        <f t="shared" si="1"/>
        <v>75</v>
      </c>
    </row>
    <row r="17" spans="1:13" x14ac:dyDescent="0.3">
      <c r="A17" s="12">
        <v>14</v>
      </c>
      <c r="B17" s="12" t="s">
        <v>33</v>
      </c>
      <c r="C17" s="12" t="s">
        <v>34</v>
      </c>
      <c r="D17" s="12">
        <v>89</v>
      </c>
      <c r="E17" s="12">
        <v>91</v>
      </c>
      <c r="F17" s="12">
        <v>78</v>
      </c>
      <c r="I17" s="12">
        <v>14</v>
      </c>
      <c r="J17" s="12" t="s">
        <v>33</v>
      </c>
      <c r="K17" s="12" t="s">
        <v>34</v>
      </c>
      <c r="L17" s="10">
        <f t="shared" si="0"/>
        <v>91</v>
      </c>
      <c r="M17" s="14" t="e">
        <f t="shared" si="1"/>
        <v>#N/A</v>
      </c>
    </row>
    <row r="18" spans="1:13" x14ac:dyDescent="0.3">
      <c r="A18" s="12">
        <v>15</v>
      </c>
      <c r="B18" s="12" t="s">
        <v>36</v>
      </c>
      <c r="C18" s="12" t="s">
        <v>37</v>
      </c>
      <c r="D18" s="12">
        <v>80</v>
      </c>
      <c r="E18" s="12">
        <v>84</v>
      </c>
      <c r="F18" s="12">
        <v>85</v>
      </c>
      <c r="I18" s="12">
        <v>15</v>
      </c>
      <c r="J18" s="12" t="s">
        <v>36</v>
      </c>
      <c r="K18" s="12" t="s">
        <v>37</v>
      </c>
      <c r="L18" s="10">
        <f t="shared" si="0"/>
        <v>84</v>
      </c>
      <c r="M18" s="14" t="e">
        <f t="shared" si="1"/>
        <v>#N/A</v>
      </c>
    </row>
    <row r="19" spans="1:13" x14ac:dyDescent="0.3">
      <c r="A19" s="12">
        <v>16</v>
      </c>
      <c r="B19" s="12" t="s">
        <v>39</v>
      </c>
      <c r="C19" s="12" t="s">
        <v>40</v>
      </c>
      <c r="D19" s="12">
        <v>83</v>
      </c>
      <c r="E19" s="12">
        <v>79</v>
      </c>
      <c r="F19" s="12">
        <v>90</v>
      </c>
      <c r="I19" s="12">
        <v>16</v>
      </c>
      <c r="J19" s="12" t="s">
        <v>39</v>
      </c>
      <c r="K19" s="12" t="s">
        <v>40</v>
      </c>
      <c r="L19" s="10">
        <f t="shared" si="0"/>
        <v>79</v>
      </c>
      <c r="M19" s="14" t="e">
        <f t="shared" si="1"/>
        <v>#N/A</v>
      </c>
    </row>
    <row r="20" spans="1:13" x14ac:dyDescent="0.3">
      <c r="A20" s="12">
        <v>17</v>
      </c>
      <c r="B20" s="12" t="s">
        <v>42</v>
      </c>
      <c r="C20" s="12" t="s">
        <v>43</v>
      </c>
      <c r="D20" s="12">
        <v>88</v>
      </c>
      <c r="E20" s="12">
        <v>76</v>
      </c>
      <c r="F20" s="12">
        <v>91</v>
      </c>
      <c r="I20" s="12">
        <v>17</v>
      </c>
      <c r="J20" s="12" t="s">
        <v>42</v>
      </c>
      <c r="K20" s="12" t="s">
        <v>43</v>
      </c>
      <c r="L20" s="10">
        <f t="shared" si="0"/>
        <v>76</v>
      </c>
      <c r="M20" s="14" t="e">
        <f t="shared" si="1"/>
        <v>#N/A</v>
      </c>
    </row>
    <row r="21" spans="1:13" x14ac:dyDescent="0.3">
      <c r="A21" s="12">
        <v>18</v>
      </c>
      <c r="B21" s="12" t="s">
        <v>45</v>
      </c>
      <c r="C21" s="12" t="s">
        <v>46</v>
      </c>
      <c r="D21" s="12">
        <v>82</v>
      </c>
      <c r="E21" s="12">
        <v>90</v>
      </c>
      <c r="F21" s="12">
        <v>86</v>
      </c>
      <c r="I21" s="12">
        <v>18</v>
      </c>
      <c r="J21" s="12" t="s">
        <v>45</v>
      </c>
      <c r="K21" s="12" t="s">
        <v>46</v>
      </c>
      <c r="L21" s="10">
        <f t="shared" si="0"/>
        <v>90</v>
      </c>
      <c r="M21" s="14" t="e">
        <f t="shared" si="1"/>
        <v>#N/A</v>
      </c>
    </row>
    <row r="22" spans="1:13" x14ac:dyDescent="0.3">
      <c r="A22" s="12">
        <v>19</v>
      </c>
      <c r="B22" s="12" t="s">
        <v>48</v>
      </c>
      <c r="C22" s="12" t="s">
        <v>49</v>
      </c>
      <c r="D22" s="12">
        <v>85</v>
      </c>
      <c r="E22" s="12">
        <v>83</v>
      </c>
      <c r="F22" s="12">
        <v>89</v>
      </c>
      <c r="I22" s="12">
        <v>19</v>
      </c>
      <c r="J22" s="12" t="s">
        <v>48</v>
      </c>
      <c r="K22" s="12" t="s">
        <v>49</v>
      </c>
      <c r="L22" s="10">
        <f t="shared" si="0"/>
        <v>83</v>
      </c>
      <c r="M22" s="14" t="e">
        <f t="shared" si="1"/>
        <v>#N/A</v>
      </c>
    </row>
    <row r="23" spans="1:13" x14ac:dyDescent="0.3">
      <c r="I23" s="12"/>
      <c r="J23" s="12"/>
      <c r="K23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17B1-4BF3-4B12-9936-B4952EF3CA58}">
  <dimension ref="A2:P25"/>
  <sheetViews>
    <sheetView zoomScale="86" workbookViewId="0">
      <selection activeCell="J15" sqref="J15"/>
    </sheetView>
  </sheetViews>
  <sheetFormatPr defaultRowHeight="14.4" x14ac:dyDescent="0.3"/>
  <cols>
    <col min="2" max="2" width="10.33203125" bestFit="1" customWidth="1"/>
    <col min="3" max="3" width="10.88671875" bestFit="1" customWidth="1"/>
    <col min="12" max="12" width="19.5546875" bestFit="1" customWidth="1"/>
  </cols>
  <sheetData>
    <row r="2" spans="1:16" x14ac:dyDescent="0.3">
      <c r="A2" s="17" t="s">
        <v>12</v>
      </c>
      <c r="B2" s="16"/>
      <c r="C2" s="16"/>
      <c r="D2" s="16"/>
      <c r="E2" s="16"/>
      <c r="F2" s="16"/>
    </row>
    <row r="3" spans="1:16" x14ac:dyDescent="0.3">
      <c r="A3" s="17" t="s">
        <v>14</v>
      </c>
      <c r="B3" s="16"/>
      <c r="C3" s="16"/>
      <c r="D3" s="16"/>
      <c r="E3" s="16"/>
      <c r="F3" s="16"/>
      <c r="L3" s="18" t="s">
        <v>58</v>
      </c>
    </row>
    <row r="4" spans="1:16" x14ac:dyDescent="0.3">
      <c r="A4" s="17" t="s">
        <v>15</v>
      </c>
      <c r="B4" s="16"/>
      <c r="C4" s="16"/>
      <c r="D4" s="16"/>
      <c r="E4" s="16"/>
      <c r="F4" s="16"/>
    </row>
    <row r="5" spans="1:16" x14ac:dyDescent="0.3">
      <c r="L5" s="26" t="s">
        <v>22</v>
      </c>
      <c r="M5" s="26" t="s">
        <v>17</v>
      </c>
      <c r="N5" s="22"/>
      <c r="O5" s="24" t="s">
        <v>17</v>
      </c>
      <c r="P5" s="24" t="s">
        <v>22</v>
      </c>
    </row>
    <row r="6" spans="1:16" x14ac:dyDescent="0.3">
      <c r="A6" s="20" t="s">
        <v>17</v>
      </c>
      <c r="B6" s="20" t="s">
        <v>18</v>
      </c>
      <c r="C6" s="20" t="s">
        <v>19</v>
      </c>
      <c r="D6" s="26" t="s">
        <v>54</v>
      </c>
      <c r="E6" s="24" t="s">
        <v>54</v>
      </c>
      <c r="L6" s="23">
        <v>90</v>
      </c>
      <c r="M6" s="23">
        <v>1</v>
      </c>
      <c r="N6" s="21"/>
      <c r="O6" s="25">
        <v>1</v>
      </c>
      <c r="P6" s="25">
        <v>90</v>
      </c>
    </row>
    <row r="7" spans="1:16" x14ac:dyDescent="0.3">
      <c r="A7" s="19">
        <v>1</v>
      </c>
      <c r="B7" s="19" t="s">
        <v>24</v>
      </c>
      <c r="C7" s="19" t="s">
        <v>25</v>
      </c>
      <c r="D7" s="23" t="e">
        <f>VLOOKUP(A7,L6:M6,1)</f>
        <v>#N/A</v>
      </c>
      <c r="E7" s="25">
        <f>VLOOKUP(A7,O6:P6,2)</f>
        <v>90</v>
      </c>
      <c r="L7" s="23">
        <v>44</v>
      </c>
      <c r="M7" s="23">
        <v>2</v>
      </c>
      <c r="N7" s="21"/>
      <c r="O7" s="25">
        <v>2</v>
      </c>
      <c r="P7" s="25">
        <v>44</v>
      </c>
    </row>
    <row r="8" spans="1:16" x14ac:dyDescent="0.3">
      <c r="A8" s="19">
        <v>2</v>
      </c>
      <c r="B8" s="19" t="s">
        <v>27</v>
      </c>
      <c r="C8" s="19" t="s">
        <v>28</v>
      </c>
      <c r="D8" s="23" t="e">
        <f t="shared" ref="D8:D25" si="0">VLOOKUP(A8,L7:M7,1)</f>
        <v>#N/A</v>
      </c>
      <c r="E8" s="25">
        <f t="shared" ref="E8:E25" si="1">VLOOKUP(A8,O7:P7,2)</f>
        <v>44</v>
      </c>
      <c r="L8" s="23">
        <v>88</v>
      </c>
      <c r="M8" s="23">
        <v>3</v>
      </c>
      <c r="N8" s="21"/>
      <c r="O8" s="25">
        <v>3</v>
      </c>
      <c r="P8" s="25">
        <v>88</v>
      </c>
    </row>
    <row r="9" spans="1:16" x14ac:dyDescent="0.3">
      <c r="A9" s="19">
        <v>3</v>
      </c>
      <c r="B9" s="19" t="s">
        <v>30</v>
      </c>
      <c r="C9" s="19" t="s">
        <v>31</v>
      </c>
      <c r="D9" s="23" t="e">
        <f t="shared" si="0"/>
        <v>#N/A</v>
      </c>
      <c r="E9" s="25">
        <f t="shared" si="1"/>
        <v>88</v>
      </c>
      <c r="L9" s="23">
        <v>91</v>
      </c>
      <c r="M9" s="23">
        <v>4</v>
      </c>
      <c r="N9" s="21"/>
      <c r="O9" s="25">
        <v>4</v>
      </c>
      <c r="P9" s="25">
        <v>91</v>
      </c>
    </row>
    <row r="10" spans="1:16" x14ac:dyDescent="0.3">
      <c r="A10" s="19">
        <v>4</v>
      </c>
      <c r="B10" s="19" t="s">
        <v>33</v>
      </c>
      <c r="C10" s="19" t="s">
        <v>34</v>
      </c>
      <c r="D10" s="23" t="e">
        <f t="shared" si="0"/>
        <v>#N/A</v>
      </c>
      <c r="E10" s="25">
        <f t="shared" si="1"/>
        <v>91</v>
      </c>
      <c r="L10" s="23">
        <v>22</v>
      </c>
      <c r="M10" s="23">
        <v>5</v>
      </c>
      <c r="N10" s="21"/>
      <c r="O10" s="25">
        <v>5</v>
      </c>
      <c r="P10" s="25">
        <v>22</v>
      </c>
    </row>
    <row r="11" spans="1:16" x14ac:dyDescent="0.3">
      <c r="A11" s="19">
        <v>5</v>
      </c>
      <c r="B11" s="19" t="s">
        <v>36</v>
      </c>
      <c r="C11" s="19" t="s">
        <v>37</v>
      </c>
      <c r="D11" s="23" t="e">
        <f t="shared" si="0"/>
        <v>#N/A</v>
      </c>
      <c r="E11" s="25">
        <f t="shared" si="1"/>
        <v>22</v>
      </c>
      <c r="L11" s="23">
        <v>79</v>
      </c>
      <c r="M11" s="23">
        <v>6</v>
      </c>
      <c r="N11" s="21"/>
      <c r="O11" s="25">
        <v>6</v>
      </c>
      <c r="P11" s="25">
        <v>79</v>
      </c>
    </row>
    <row r="12" spans="1:16" x14ac:dyDescent="0.3">
      <c r="A12" s="19">
        <v>6</v>
      </c>
      <c r="B12" s="19" t="s">
        <v>39</v>
      </c>
      <c r="C12" s="19" t="s">
        <v>40</v>
      </c>
      <c r="D12" s="23" t="e">
        <f t="shared" si="0"/>
        <v>#N/A</v>
      </c>
      <c r="E12" s="25">
        <f t="shared" si="1"/>
        <v>79</v>
      </c>
      <c r="L12" s="23">
        <v>76</v>
      </c>
      <c r="M12" s="23">
        <v>7</v>
      </c>
      <c r="N12" s="21"/>
      <c r="O12" s="25">
        <v>7</v>
      </c>
      <c r="P12" s="25">
        <v>76</v>
      </c>
    </row>
    <row r="13" spans="1:16" x14ac:dyDescent="0.3">
      <c r="A13" s="19">
        <v>7</v>
      </c>
      <c r="B13" s="19" t="s">
        <v>42</v>
      </c>
      <c r="C13" s="19" t="s">
        <v>43</v>
      </c>
      <c r="D13" s="23" t="e">
        <f t="shared" si="0"/>
        <v>#N/A</v>
      </c>
      <c r="E13" s="25">
        <f t="shared" si="1"/>
        <v>76</v>
      </c>
      <c r="L13" s="23">
        <v>90</v>
      </c>
      <c r="M13" s="23">
        <v>8</v>
      </c>
      <c r="N13" s="21"/>
      <c r="O13" s="25">
        <v>8</v>
      </c>
      <c r="P13" s="25">
        <v>90</v>
      </c>
    </row>
    <row r="14" spans="1:16" x14ac:dyDescent="0.3">
      <c r="A14" s="19">
        <v>8</v>
      </c>
      <c r="B14" s="19" t="s">
        <v>45</v>
      </c>
      <c r="C14" s="19" t="s">
        <v>46</v>
      </c>
      <c r="D14" s="23" t="e">
        <f t="shared" si="0"/>
        <v>#N/A</v>
      </c>
      <c r="E14" s="25">
        <f t="shared" si="1"/>
        <v>90</v>
      </c>
      <c r="L14" s="23">
        <v>83</v>
      </c>
      <c r="M14" s="23">
        <v>9</v>
      </c>
      <c r="N14" s="21"/>
      <c r="O14" s="25">
        <v>9</v>
      </c>
      <c r="P14" s="25">
        <v>83</v>
      </c>
    </row>
    <row r="15" spans="1:16" x14ac:dyDescent="0.3">
      <c r="A15" s="19">
        <v>9</v>
      </c>
      <c r="B15" s="19" t="s">
        <v>48</v>
      </c>
      <c r="C15" s="19" t="s">
        <v>49</v>
      </c>
      <c r="D15" s="23" t="e">
        <f t="shared" si="0"/>
        <v>#N/A</v>
      </c>
      <c r="E15" s="25">
        <f t="shared" si="1"/>
        <v>83</v>
      </c>
      <c r="L15" s="23">
        <v>87</v>
      </c>
      <c r="M15" s="23">
        <v>10</v>
      </c>
      <c r="N15" s="21"/>
      <c r="O15" s="25">
        <v>10</v>
      </c>
      <c r="P15" s="25">
        <v>87</v>
      </c>
    </row>
    <row r="16" spans="1:16" x14ac:dyDescent="0.3">
      <c r="A16" s="19">
        <v>10</v>
      </c>
      <c r="B16" s="19" t="s">
        <v>51</v>
      </c>
      <c r="C16" s="19" t="s">
        <v>52</v>
      </c>
      <c r="D16" s="23" t="e">
        <f t="shared" si="0"/>
        <v>#N/A</v>
      </c>
      <c r="E16" s="25">
        <f t="shared" si="1"/>
        <v>87</v>
      </c>
      <c r="L16" s="23">
        <v>90</v>
      </c>
      <c r="M16" s="23">
        <v>11</v>
      </c>
      <c r="N16" s="21"/>
      <c r="O16" s="25">
        <v>11</v>
      </c>
      <c r="P16" s="25">
        <v>90</v>
      </c>
    </row>
    <row r="17" spans="1:16" x14ac:dyDescent="0.3">
      <c r="A17" s="19">
        <v>11</v>
      </c>
      <c r="B17" s="19" t="s">
        <v>24</v>
      </c>
      <c r="C17" s="19" t="s">
        <v>25</v>
      </c>
      <c r="D17" s="23" t="e">
        <f t="shared" si="0"/>
        <v>#N/A</v>
      </c>
      <c r="E17" s="25">
        <f t="shared" si="1"/>
        <v>90</v>
      </c>
      <c r="L17" s="23">
        <v>85</v>
      </c>
      <c r="M17" s="23">
        <v>12</v>
      </c>
      <c r="N17" s="21"/>
      <c r="O17" s="25">
        <v>12</v>
      </c>
      <c r="P17" s="25">
        <v>85</v>
      </c>
    </row>
    <row r="18" spans="1:16" x14ac:dyDescent="0.3">
      <c r="A18" s="19">
        <v>12</v>
      </c>
      <c r="B18" s="19" t="s">
        <v>27</v>
      </c>
      <c r="C18" s="19" t="s">
        <v>28</v>
      </c>
      <c r="D18" s="23" t="e">
        <f t="shared" si="0"/>
        <v>#N/A</v>
      </c>
      <c r="E18" s="25">
        <f t="shared" si="1"/>
        <v>85</v>
      </c>
      <c r="L18" s="23">
        <v>88</v>
      </c>
      <c r="M18" s="23">
        <v>13</v>
      </c>
      <c r="N18" s="21"/>
      <c r="O18" s="25">
        <v>13</v>
      </c>
      <c r="P18" s="25">
        <v>88</v>
      </c>
    </row>
    <row r="19" spans="1:16" x14ac:dyDescent="0.3">
      <c r="A19" s="19">
        <v>13</v>
      </c>
      <c r="B19" s="19" t="s">
        <v>30</v>
      </c>
      <c r="C19" s="19" t="s">
        <v>31</v>
      </c>
      <c r="D19" s="23" t="e">
        <f t="shared" si="0"/>
        <v>#N/A</v>
      </c>
      <c r="E19" s="25">
        <f t="shared" si="1"/>
        <v>88</v>
      </c>
      <c r="L19" s="23">
        <v>91</v>
      </c>
      <c r="M19" s="23">
        <v>14</v>
      </c>
      <c r="N19" s="21"/>
      <c r="O19" s="25">
        <v>14</v>
      </c>
      <c r="P19" s="25">
        <v>91</v>
      </c>
    </row>
    <row r="20" spans="1:16" x14ac:dyDescent="0.3">
      <c r="A20" s="19">
        <v>14</v>
      </c>
      <c r="B20" s="19" t="s">
        <v>33</v>
      </c>
      <c r="C20" s="19" t="s">
        <v>34</v>
      </c>
      <c r="D20" s="23" t="e">
        <f t="shared" si="0"/>
        <v>#N/A</v>
      </c>
      <c r="E20" s="25">
        <f t="shared" si="1"/>
        <v>91</v>
      </c>
      <c r="L20" s="23">
        <v>84</v>
      </c>
      <c r="M20" s="23">
        <v>15</v>
      </c>
      <c r="N20" s="21"/>
      <c r="O20" s="25">
        <v>15</v>
      </c>
      <c r="P20" s="25">
        <v>84</v>
      </c>
    </row>
    <row r="21" spans="1:16" x14ac:dyDescent="0.3">
      <c r="A21" s="19">
        <v>15</v>
      </c>
      <c r="B21" s="19" t="s">
        <v>36</v>
      </c>
      <c r="C21" s="19" t="s">
        <v>37</v>
      </c>
      <c r="D21" s="23" t="e">
        <f t="shared" si="0"/>
        <v>#N/A</v>
      </c>
      <c r="E21" s="25">
        <f t="shared" si="1"/>
        <v>84</v>
      </c>
      <c r="L21" s="23">
        <v>79</v>
      </c>
      <c r="M21" s="23">
        <v>16</v>
      </c>
      <c r="N21" s="21"/>
      <c r="O21" s="25">
        <v>16</v>
      </c>
      <c r="P21" s="25">
        <v>79</v>
      </c>
    </row>
    <row r="22" spans="1:16" x14ac:dyDescent="0.3">
      <c r="A22" s="19">
        <v>16</v>
      </c>
      <c r="B22" s="19" t="s">
        <v>39</v>
      </c>
      <c r="C22" s="19" t="s">
        <v>40</v>
      </c>
      <c r="D22" s="23" t="e">
        <f t="shared" si="0"/>
        <v>#N/A</v>
      </c>
      <c r="E22" s="25">
        <f t="shared" si="1"/>
        <v>79</v>
      </c>
      <c r="L22" s="23">
        <v>76</v>
      </c>
      <c r="M22" s="23">
        <v>17</v>
      </c>
      <c r="N22" s="21"/>
      <c r="O22" s="25">
        <v>17</v>
      </c>
      <c r="P22" s="25">
        <v>76</v>
      </c>
    </row>
    <row r="23" spans="1:16" x14ac:dyDescent="0.3">
      <c r="A23" s="19">
        <v>17</v>
      </c>
      <c r="B23" s="19" t="s">
        <v>42</v>
      </c>
      <c r="C23" s="19" t="s">
        <v>43</v>
      </c>
      <c r="D23" s="23" t="e">
        <f t="shared" si="0"/>
        <v>#N/A</v>
      </c>
      <c r="E23" s="25">
        <f t="shared" si="1"/>
        <v>76</v>
      </c>
      <c r="L23" s="23">
        <v>90</v>
      </c>
      <c r="M23" s="23">
        <v>18</v>
      </c>
      <c r="N23" s="21"/>
      <c r="O23" s="25">
        <v>18</v>
      </c>
      <c r="P23" s="25">
        <v>90</v>
      </c>
    </row>
    <row r="24" spans="1:16" x14ac:dyDescent="0.3">
      <c r="A24" s="19">
        <v>18</v>
      </c>
      <c r="B24" s="19" t="s">
        <v>45</v>
      </c>
      <c r="C24" s="19" t="s">
        <v>46</v>
      </c>
      <c r="D24" s="23" t="e">
        <f t="shared" si="0"/>
        <v>#N/A</v>
      </c>
      <c r="E24" s="25">
        <f t="shared" si="1"/>
        <v>90</v>
      </c>
      <c r="L24" s="23">
        <v>83</v>
      </c>
      <c r="M24" s="23">
        <v>19</v>
      </c>
      <c r="N24" s="21"/>
      <c r="O24" s="25">
        <v>19</v>
      </c>
      <c r="P24" s="25">
        <v>83</v>
      </c>
    </row>
    <row r="25" spans="1:16" x14ac:dyDescent="0.3">
      <c r="A25" s="19">
        <v>19</v>
      </c>
      <c r="B25" s="19" t="s">
        <v>48</v>
      </c>
      <c r="C25" s="19" t="s">
        <v>49</v>
      </c>
      <c r="D25" s="23" t="e">
        <f t="shared" si="0"/>
        <v>#N/A</v>
      </c>
      <c r="E25" s="25">
        <f t="shared" si="1"/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9C81-A841-4519-B900-E8052E2FA211}">
  <sheetPr filterMode="1"/>
  <dimension ref="A1:L11"/>
  <sheetViews>
    <sheetView workbookViewId="0">
      <selection activeCell="D3" sqref="D3"/>
    </sheetView>
  </sheetViews>
  <sheetFormatPr defaultRowHeight="14.4" x14ac:dyDescent="0.3"/>
  <cols>
    <col min="1" max="1" width="22.88671875" customWidth="1"/>
    <col min="4" max="4" width="11.6640625" bestFit="1" customWidth="1"/>
    <col min="6" max="6" width="11.6640625" bestFit="1" customWidth="1"/>
    <col min="9" max="9" width="15.5546875" bestFit="1" customWidth="1"/>
  </cols>
  <sheetData>
    <row r="1" spans="1:12" x14ac:dyDescent="0.3">
      <c r="A1" s="28" t="s">
        <v>13</v>
      </c>
      <c r="B1" s="27"/>
      <c r="C1" s="27"/>
      <c r="D1" s="27"/>
      <c r="E1" s="27"/>
      <c r="F1" s="27"/>
    </row>
    <row r="2" spans="1:12" x14ac:dyDescent="0.3">
      <c r="K2" s="37" t="s">
        <v>60</v>
      </c>
      <c r="L2" s="34" t="s">
        <v>60</v>
      </c>
    </row>
    <row r="3" spans="1:12" x14ac:dyDescent="0.3">
      <c r="A3" s="31" t="s">
        <v>59</v>
      </c>
      <c r="B3" s="31" t="s">
        <v>21</v>
      </c>
      <c r="C3" s="36" t="s">
        <v>22</v>
      </c>
      <c r="D3" s="35" t="s">
        <v>23</v>
      </c>
      <c r="E3" s="11" t="s">
        <v>22</v>
      </c>
      <c r="F3" s="35" t="s">
        <v>23</v>
      </c>
      <c r="I3" s="29" t="s">
        <v>38</v>
      </c>
      <c r="J3" s="29">
        <v>80</v>
      </c>
      <c r="K3" s="37">
        <f>VLOOKUP(I3,A4:F4,3,5)</f>
        <v>22</v>
      </c>
      <c r="L3" s="34">
        <f>VLOOKUP(I3,A4:F4,5)</f>
        <v>43</v>
      </c>
    </row>
    <row r="4" spans="1:12" hidden="1" x14ac:dyDescent="0.3">
      <c r="A4" s="29" t="s">
        <v>38</v>
      </c>
      <c r="B4" s="29">
        <v>80</v>
      </c>
      <c r="C4" s="37">
        <v>22</v>
      </c>
      <c r="D4" s="29">
        <v>85</v>
      </c>
      <c r="E4" s="34">
        <v>43</v>
      </c>
      <c r="F4" s="29">
        <v>85</v>
      </c>
      <c r="I4" s="33" t="s">
        <v>32</v>
      </c>
      <c r="J4" s="29">
        <v>75</v>
      </c>
      <c r="K4" s="37">
        <f t="shared" ref="K4:K9" si="0">VLOOKUP(I4,A5:F5,3,5)</f>
        <v>88</v>
      </c>
      <c r="L4" s="34">
        <f t="shared" ref="L4:L9" si="1">VLOOKUP(I4,A5:F5,5)</f>
        <v>88</v>
      </c>
    </row>
    <row r="5" spans="1:12" x14ac:dyDescent="0.3">
      <c r="A5" s="33" t="s">
        <v>32</v>
      </c>
      <c r="B5" s="29">
        <v>75</v>
      </c>
      <c r="C5" s="37">
        <v>88</v>
      </c>
      <c r="D5" s="29">
        <v>84</v>
      </c>
      <c r="E5" s="34">
        <v>88</v>
      </c>
      <c r="F5" s="29">
        <v>84</v>
      </c>
      <c r="I5" s="33" t="s">
        <v>32</v>
      </c>
      <c r="J5" s="29">
        <v>80</v>
      </c>
      <c r="K5" s="37">
        <f t="shared" si="0"/>
        <v>80</v>
      </c>
      <c r="L5" s="34">
        <f t="shared" si="1"/>
        <v>80</v>
      </c>
    </row>
    <row r="6" spans="1:12" x14ac:dyDescent="0.3">
      <c r="A6" s="33" t="s">
        <v>32</v>
      </c>
      <c r="B6" s="29">
        <v>80</v>
      </c>
      <c r="C6" s="37">
        <v>80</v>
      </c>
      <c r="D6" s="29">
        <v>80</v>
      </c>
      <c r="E6" s="34">
        <v>80</v>
      </c>
      <c r="F6" s="29">
        <v>80</v>
      </c>
      <c r="I6" s="32" t="s">
        <v>29</v>
      </c>
      <c r="J6" s="29">
        <v>79</v>
      </c>
      <c r="K6" s="37">
        <f t="shared" si="0"/>
        <v>79</v>
      </c>
      <c r="L6" s="34">
        <f t="shared" si="1"/>
        <v>79</v>
      </c>
    </row>
    <row r="7" spans="1:12" hidden="1" x14ac:dyDescent="0.3">
      <c r="A7" s="32" t="s">
        <v>29</v>
      </c>
      <c r="B7" s="29">
        <v>79</v>
      </c>
      <c r="C7" s="37">
        <v>79</v>
      </c>
      <c r="D7" s="29">
        <v>79</v>
      </c>
      <c r="E7" s="34">
        <v>79</v>
      </c>
      <c r="F7" s="29">
        <v>79</v>
      </c>
      <c r="I7" s="29" t="s">
        <v>35</v>
      </c>
      <c r="J7" s="29">
        <v>89</v>
      </c>
      <c r="K7" s="37">
        <f t="shared" si="0"/>
        <v>91</v>
      </c>
      <c r="L7" s="34">
        <f t="shared" si="1"/>
        <v>99</v>
      </c>
    </row>
    <row r="8" spans="1:12" x14ac:dyDescent="0.3">
      <c r="A8" s="29" t="s">
        <v>35</v>
      </c>
      <c r="B8" s="29">
        <v>89</v>
      </c>
      <c r="C8" s="37">
        <v>91</v>
      </c>
      <c r="D8" s="29">
        <v>78</v>
      </c>
      <c r="E8" s="34">
        <v>99</v>
      </c>
      <c r="F8" s="29">
        <v>78</v>
      </c>
      <c r="I8" s="30" t="s">
        <v>26</v>
      </c>
      <c r="J8" s="29">
        <v>78</v>
      </c>
      <c r="K8" s="37">
        <f t="shared" si="0"/>
        <v>78</v>
      </c>
      <c r="L8" s="34">
        <f t="shared" si="1"/>
        <v>78</v>
      </c>
    </row>
    <row r="9" spans="1:12" x14ac:dyDescent="0.3">
      <c r="A9" s="30" t="s">
        <v>26</v>
      </c>
      <c r="B9" s="29">
        <v>78</v>
      </c>
      <c r="C9" s="37">
        <v>78</v>
      </c>
      <c r="D9" s="29">
        <v>78</v>
      </c>
      <c r="E9" s="34">
        <v>78</v>
      </c>
      <c r="F9" s="29">
        <v>78</v>
      </c>
      <c r="I9" s="30" t="s">
        <v>26</v>
      </c>
      <c r="J9" s="29">
        <v>78</v>
      </c>
      <c r="K9" s="37">
        <f t="shared" si="0"/>
        <v>90</v>
      </c>
      <c r="L9" s="34">
        <f t="shared" si="1"/>
        <v>90</v>
      </c>
    </row>
    <row r="10" spans="1:12" x14ac:dyDescent="0.3">
      <c r="A10" s="30" t="s">
        <v>26</v>
      </c>
      <c r="B10" s="29">
        <v>78</v>
      </c>
      <c r="C10" s="37">
        <v>90</v>
      </c>
      <c r="D10" s="29">
        <v>34</v>
      </c>
      <c r="E10" s="34">
        <v>90</v>
      </c>
      <c r="F10" s="29">
        <v>34</v>
      </c>
      <c r="L10" s="34"/>
    </row>
    <row r="11" spans="1:12" x14ac:dyDescent="0.3">
      <c r="A11" s="32" t="s">
        <v>29</v>
      </c>
      <c r="B11" s="29">
        <v>33</v>
      </c>
      <c r="C11" s="37">
        <v>44</v>
      </c>
      <c r="D11" s="29">
        <v>32</v>
      </c>
      <c r="E11" s="34">
        <v>44</v>
      </c>
      <c r="F11" s="29">
        <v>32</v>
      </c>
    </row>
  </sheetData>
  <autoFilter ref="A3:F11" xr:uid="{E43F9C81-A841-4519-B900-E8052E2FA211}">
    <filterColumn colId="3">
      <filters>
        <filter val="32"/>
        <filter val="34"/>
        <filter val="78"/>
        <filter val="80"/>
        <filter val="84"/>
      </filters>
    </filterColumn>
    <sortState xmlns:xlrd2="http://schemas.microsoft.com/office/spreadsheetml/2017/richdata2" ref="A11:F11">
      <sortCondition descending="1" ref="D3:D11"/>
    </sortState>
  </autoFilter>
  <sortState xmlns:xlrd2="http://schemas.microsoft.com/office/spreadsheetml/2017/richdata2" ref="A4:F11">
    <sortCondition sortBy="cellColor" ref="D3:D11" dxfId="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5A2A-7903-4E6B-BB35-60137364AFCF}">
  <dimension ref="A1:J11"/>
  <sheetViews>
    <sheetView tabSelected="1" workbookViewId="0">
      <selection activeCell="O10" sqref="O10"/>
    </sheetView>
  </sheetViews>
  <sheetFormatPr defaultRowHeight="14.4" x14ac:dyDescent="0.3"/>
  <cols>
    <col min="1" max="1" width="26.77734375" bestFit="1" customWidth="1"/>
    <col min="2" max="2" width="7.109375" bestFit="1" customWidth="1"/>
    <col min="3" max="3" width="9.44140625" bestFit="1" customWidth="1"/>
    <col min="4" max="4" width="12" bestFit="1" customWidth="1"/>
    <col min="5" max="5" width="9.44140625" bestFit="1" customWidth="1"/>
    <col min="6" max="6" width="12" bestFit="1" customWidth="1"/>
    <col min="9" max="9" width="17.6640625" bestFit="1" customWidth="1"/>
    <col min="10" max="10" width="11.6640625" bestFit="1" customWidth="1"/>
  </cols>
  <sheetData>
    <row r="1" spans="1:10" x14ac:dyDescent="0.3">
      <c r="A1" s="45" t="s">
        <v>61</v>
      </c>
      <c r="B1" s="39"/>
      <c r="C1" s="39"/>
      <c r="D1" s="39"/>
      <c r="E1" s="39"/>
      <c r="F1" s="39"/>
      <c r="G1" s="39"/>
      <c r="H1" s="39"/>
      <c r="I1" s="39"/>
      <c r="J1" s="39"/>
    </row>
    <row r="3" spans="1:10" x14ac:dyDescent="0.3">
      <c r="A3" s="44" t="s">
        <v>59</v>
      </c>
      <c r="B3" s="41" t="s">
        <v>21</v>
      </c>
      <c r="C3" s="41" t="s">
        <v>22</v>
      </c>
      <c r="D3" s="44" t="s">
        <v>23</v>
      </c>
      <c r="E3" s="41" t="s">
        <v>22</v>
      </c>
      <c r="F3" s="41" t="s">
        <v>23</v>
      </c>
      <c r="G3" s="39"/>
      <c r="H3" s="39"/>
      <c r="I3" s="38"/>
      <c r="J3" s="38" t="s">
        <v>23</v>
      </c>
    </row>
    <row r="4" spans="1:10" x14ac:dyDescent="0.3">
      <c r="A4" s="42" t="s">
        <v>62</v>
      </c>
      <c r="B4" s="39">
        <v>78</v>
      </c>
      <c r="C4" s="39">
        <v>78</v>
      </c>
      <c r="D4" s="39">
        <v>78</v>
      </c>
      <c r="E4" s="39">
        <v>78</v>
      </c>
      <c r="F4" s="39">
        <v>78</v>
      </c>
      <c r="G4" s="39"/>
      <c r="H4" s="39"/>
      <c r="I4" s="42" t="s">
        <v>62</v>
      </c>
      <c r="J4" s="38">
        <f>VLOOKUP(I4,A3:E11,4,0)</f>
        <v>78</v>
      </c>
    </row>
    <row r="5" spans="1:10" x14ac:dyDescent="0.3">
      <c r="A5" s="43" t="s">
        <v>26</v>
      </c>
      <c r="B5" s="39">
        <v>78</v>
      </c>
      <c r="C5" s="39">
        <v>90</v>
      </c>
      <c r="D5" s="39">
        <v>34</v>
      </c>
      <c r="E5" s="39">
        <v>90</v>
      </c>
      <c r="F5" s="39">
        <v>34</v>
      </c>
      <c r="G5" s="39"/>
      <c r="H5" s="39"/>
      <c r="I5" s="42" t="s">
        <v>63</v>
      </c>
      <c r="J5" s="38">
        <f t="shared" ref="J5:J9" si="0">VLOOKUP(I5,A4:E12,4,0)</f>
        <v>84</v>
      </c>
    </row>
    <row r="6" spans="1:10" x14ac:dyDescent="0.3">
      <c r="A6" s="39" t="s">
        <v>35</v>
      </c>
      <c r="B6" s="39">
        <v>89</v>
      </c>
      <c r="C6" s="39">
        <v>91</v>
      </c>
      <c r="D6" s="39">
        <v>78</v>
      </c>
      <c r="E6" s="39">
        <v>91</v>
      </c>
      <c r="F6" s="39">
        <v>78</v>
      </c>
      <c r="G6" s="39"/>
      <c r="H6" s="39"/>
      <c r="I6" s="42" t="s">
        <v>64</v>
      </c>
      <c r="J6" s="38">
        <f t="shared" si="0"/>
        <v>79</v>
      </c>
    </row>
    <row r="7" spans="1:10" x14ac:dyDescent="0.3">
      <c r="A7" s="43" t="s">
        <v>32</v>
      </c>
      <c r="B7" s="39">
        <v>75</v>
      </c>
      <c r="C7" s="39">
        <v>88</v>
      </c>
      <c r="D7" s="40">
        <v>84</v>
      </c>
      <c r="E7" s="39">
        <v>88</v>
      </c>
      <c r="F7" s="39">
        <v>84</v>
      </c>
      <c r="G7" s="39"/>
      <c r="H7" s="39"/>
      <c r="I7" s="43" t="s">
        <v>26</v>
      </c>
      <c r="J7" s="38">
        <f>VLOOKUP(I7,A5:E14,4,0)</f>
        <v>34</v>
      </c>
    </row>
    <row r="8" spans="1:10" x14ac:dyDescent="0.3">
      <c r="A8" s="42" t="s">
        <v>63</v>
      </c>
      <c r="B8" s="39">
        <v>80</v>
      </c>
      <c r="C8" s="39">
        <v>80</v>
      </c>
      <c r="D8" s="40">
        <v>80</v>
      </c>
      <c r="E8" s="39">
        <v>80</v>
      </c>
      <c r="F8" s="39">
        <v>80</v>
      </c>
      <c r="G8" s="39"/>
      <c r="H8" s="39"/>
      <c r="I8" s="43" t="s">
        <v>32</v>
      </c>
      <c r="J8" s="38">
        <f t="shared" si="0"/>
        <v>84</v>
      </c>
    </row>
    <row r="9" spans="1:10" x14ac:dyDescent="0.3">
      <c r="A9" s="39" t="s">
        <v>38</v>
      </c>
      <c r="B9" s="39">
        <v>80</v>
      </c>
      <c r="C9" s="39">
        <v>22</v>
      </c>
      <c r="D9" s="39">
        <v>85</v>
      </c>
      <c r="E9" s="39">
        <v>22</v>
      </c>
      <c r="F9" s="39">
        <v>85</v>
      </c>
      <c r="G9" s="39"/>
      <c r="H9" s="39"/>
      <c r="I9" s="43" t="s">
        <v>29</v>
      </c>
      <c r="J9" s="38">
        <f t="shared" si="0"/>
        <v>79</v>
      </c>
    </row>
    <row r="10" spans="1:10" x14ac:dyDescent="0.3">
      <c r="A10" s="42" t="s">
        <v>64</v>
      </c>
      <c r="B10" s="39">
        <v>79</v>
      </c>
      <c r="C10" s="39">
        <v>79</v>
      </c>
      <c r="D10" s="39">
        <v>79</v>
      </c>
      <c r="E10" s="39">
        <v>79</v>
      </c>
      <c r="F10" s="39">
        <v>79</v>
      </c>
      <c r="G10" s="39"/>
      <c r="H10" s="39"/>
      <c r="I10" s="39"/>
      <c r="J10" s="39"/>
    </row>
    <row r="11" spans="1:10" x14ac:dyDescent="0.3">
      <c r="A11" s="43" t="s">
        <v>29</v>
      </c>
      <c r="B11" s="39">
        <v>33</v>
      </c>
      <c r="C11" s="39">
        <v>44</v>
      </c>
      <c r="D11" s="39">
        <v>32</v>
      </c>
      <c r="E11" s="39">
        <v>44</v>
      </c>
      <c r="F11" s="39">
        <v>32</v>
      </c>
      <c r="G11" s="39"/>
      <c r="H11" s="39"/>
      <c r="I11" s="39"/>
      <c r="J11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2025-12-22T05:05:56Z</dcterms:created>
  <dcterms:modified xsi:type="dcterms:W3CDTF">2025-12-22T05:49:17Z</dcterms:modified>
</cp:coreProperties>
</file>