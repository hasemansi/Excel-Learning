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cuments\Desktop\Minskole classes\Excel\"/>
    </mc:Choice>
  </mc:AlternateContent>
  <xr:revisionPtr revIDLastSave="0" documentId="13_ncr:1_{65936D21-A0C0-43A3-9B07-40325BDB4442}" xr6:coauthVersionLast="47" xr6:coauthVersionMax="47" xr10:uidLastSave="{00000000-0000-0000-0000-000000000000}"/>
  <bookViews>
    <workbookView xWindow="-108" yWindow="-108" windowWidth="23256" windowHeight="12456" activeTab="3" xr2:uid="{2F48BB4D-0D9D-4DE4-880D-2676D13CB597}"/>
  </bookViews>
  <sheets>
    <sheet name="Sheet1" sheetId="1" r:id="rId1"/>
    <sheet name="H" sheetId="2" r:id="rId2"/>
    <sheet name="X" sheetId="3" r:id="rId3"/>
    <sheet name="V" sheetId="4" r:id="rId4"/>
    <sheet name="data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4" l="1" a="1"/>
  <c r="B12" i="4" s="1"/>
  <c r="B11" i="4" a="1"/>
  <c r="B11" i="4" s="1"/>
  <c r="B10" i="4" a="1"/>
  <c r="B10" i="4" s="1"/>
  <c r="B9" i="4" a="1"/>
  <c r="B9" i="4" s="1"/>
  <c r="B8" i="4" a="1"/>
  <c r="B8" i="4" s="1"/>
  <c r="B7" i="4" a="1"/>
  <c r="B7" i="4" s="1"/>
  <c r="B6" i="4" a="1"/>
  <c r="B6" i="4" s="1"/>
  <c r="B5" i="4" a="1"/>
  <c r="B5" i="4" s="1"/>
  <c r="B4" i="4" a="1"/>
  <c r="B4" i="4" s="1"/>
  <c r="B3" i="4" a="1"/>
  <c r="B3" i="4" s="1"/>
  <c r="B2" i="4" a="1"/>
  <c r="B2" i="4" s="1"/>
  <c r="M15" i="2"/>
  <c r="M16" i="2"/>
  <c r="M17" i="2"/>
  <c r="M14" i="2"/>
  <c r="L15" i="2"/>
  <c r="L16" i="2"/>
  <c r="L17" i="2"/>
  <c r="L14" i="2"/>
  <c r="F14" i="2"/>
  <c r="F15" i="2"/>
  <c r="F13" i="2"/>
  <c r="E13" i="2"/>
  <c r="D13" i="2"/>
  <c r="E14" i="2"/>
  <c r="E15" i="2"/>
  <c r="D14" i="2"/>
  <c r="D15" i="2"/>
</calcChain>
</file>

<file path=xl/sharedStrings.xml><?xml version="1.0" encoding="utf-8"?>
<sst xmlns="http://schemas.openxmlformats.org/spreadsheetml/2006/main" count="115" uniqueCount="84">
  <si>
    <t>LOOKUP</t>
  </si>
  <si>
    <t>Linking data from multiple files and tables</t>
  </si>
  <si>
    <t>Syntax</t>
  </si>
  <si>
    <t>VLOOKUP(lookup_value, table_array, col_index_num, [range_lookup])</t>
  </si>
  <si>
    <t>lookup_value : Whom / For which value we finding value</t>
  </si>
  <si>
    <t>Find value for</t>
  </si>
  <si>
    <t>table_array: Where / Data source</t>
  </si>
  <si>
    <t>col_index_num: Column number</t>
  </si>
  <si>
    <t>Column number</t>
  </si>
  <si>
    <t>[range_lookup]: Exact match or not?</t>
  </si>
  <si>
    <t>True/FAlse</t>
  </si>
  <si>
    <t>Notes</t>
  </si>
  <si>
    <t>Lookup value must be present in first column in table array</t>
  </si>
  <si>
    <t>If Duplicate Lookup value present in table array it gives first occurrence only</t>
  </si>
  <si>
    <t>Works Left to right</t>
  </si>
  <si>
    <t>Column index should be positive</t>
  </si>
  <si>
    <t>Make sure table array reference should be fixed</t>
  </si>
  <si>
    <t>VLOOKUP</t>
  </si>
  <si>
    <t>Exact Match= False / 0</t>
  </si>
  <si>
    <t>HLOOKUP</t>
  </si>
  <si>
    <t>Approximaate= True / 1</t>
  </si>
  <si>
    <t>XLOOKUP</t>
  </si>
  <si>
    <t>XLOOKUP(lookup_value, lookup_array, return_array, [if_not_found], [match_mode], [search_mode])</t>
  </si>
  <si>
    <t>MATCH</t>
  </si>
  <si>
    <t>MATCH(Lookup value,Lookup array)</t>
  </si>
  <si>
    <t>Return index of lookup value</t>
  </si>
  <si>
    <t>INDEX</t>
  </si>
  <si>
    <t>INDEX(array, row number)</t>
  </si>
  <si>
    <t>Reurn row number value provided array</t>
  </si>
  <si>
    <t>Combination of INDEX+MATCH for LOOKUP</t>
  </si>
  <si>
    <t>INDEX(B1:B16,MATCH(2020,D1:D16))</t>
  </si>
  <si>
    <t>B1:B16 ==&gt; return array</t>
  </si>
  <si>
    <t>2020 ==&gt; lookup value</t>
  </si>
  <si>
    <t>D1:D16 ==&gt; lookup array</t>
  </si>
  <si>
    <t>Quarter</t>
  </si>
  <si>
    <t>Q1</t>
  </si>
  <si>
    <t>Q2</t>
  </si>
  <si>
    <t>Q3</t>
  </si>
  <si>
    <t>Q4</t>
  </si>
  <si>
    <t>Total</t>
  </si>
  <si>
    <t>Look First Row in table array</t>
  </si>
  <si>
    <t xml:space="preserve">HLOOKUP(lookup_value, table_array, row_index_num, [range_lookup]) </t>
  </si>
  <si>
    <r>
      <t>HLOOKUP (Horizontal Lookup)</t>
    </r>
    <r>
      <rPr>
        <sz val="11"/>
        <color theme="1"/>
        <rFont val="Calibri"/>
        <family val="2"/>
        <scheme val="minor"/>
      </rPr>
      <t xml:space="preserve"> is used to </t>
    </r>
    <r>
      <rPr>
        <b/>
        <sz val="11"/>
        <color theme="1"/>
        <rFont val="Calibri"/>
        <family val="2"/>
        <scheme val="minor"/>
      </rPr>
      <t>search for a value in the top row</t>
    </r>
    <r>
      <rPr>
        <sz val="11"/>
        <color theme="1"/>
        <rFont val="Calibri"/>
        <family val="2"/>
        <scheme val="minor"/>
      </rPr>
      <t xml:space="preserve"> of a table or range and then </t>
    </r>
    <r>
      <rPr>
        <b/>
        <sz val="11"/>
        <color theme="1"/>
        <rFont val="Calibri"/>
        <family val="2"/>
        <scheme val="minor"/>
      </rPr>
      <t>return a value from another row</t>
    </r>
    <r>
      <rPr>
        <sz val="11"/>
        <color theme="1"/>
        <rFont val="Calibri"/>
        <family val="2"/>
        <scheme val="minor"/>
      </rPr>
      <t xml:space="preserve"> in the same column.</t>
    </r>
  </si>
  <si>
    <t>to fix the column using $ simply press fn + f4</t>
  </si>
  <si>
    <t>Vlookup check in first column only</t>
  </si>
  <si>
    <t>searches for a value in a range or array and returns a corresponding value from another range, either vertically or horizontally — no need to worry about column numbers or left/right limits.</t>
  </si>
  <si>
    <t>Roll No</t>
  </si>
  <si>
    <t>First Name</t>
  </si>
  <si>
    <t>Last Name</t>
  </si>
  <si>
    <t>Aarav</t>
  </si>
  <si>
    <t>Patil</t>
  </si>
  <si>
    <t>Vihaan</t>
  </si>
  <si>
    <t>Deshmukh</t>
  </si>
  <si>
    <t>Ayaan</t>
  </si>
  <si>
    <t>Jadhav</t>
  </si>
  <si>
    <t>Arjun</t>
  </si>
  <si>
    <t>More</t>
  </si>
  <si>
    <t>Reyansh</t>
  </si>
  <si>
    <t>Joshi</t>
  </si>
  <si>
    <t>Vivaan</t>
  </si>
  <si>
    <t>Nair</t>
  </si>
  <si>
    <t>Aditya</t>
  </si>
  <si>
    <t>Pawar</t>
  </si>
  <si>
    <t>Rohan</t>
  </si>
  <si>
    <t>Suryavanshi</t>
  </si>
  <si>
    <t>Krish</t>
  </si>
  <si>
    <t>Bhosale</t>
  </si>
  <si>
    <t>Samarth</t>
  </si>
  <si>
    <t>Shinde</t>
  </si>
  <si>
    <t>Chemistry</t>
  </si>
  <si>
    <t>maths</t>
  </si>
  <si>
    <t>Full Name</t>
  </si>
  <si>
    <t>Physics</t>
  </si>
  <si>
    <t>Mathematics</t>
  </si>
  <si>
    <t>Aarav Patil</t>
  </si>
  <si>
    <t>Vihaan Deshmukh</t>
  </si>
  <si>
    <t>Ayaan Jadhav</t>
  </si>
  <si>
    <t>Arjun More</t>
  </si>
  <si>
    <t>Reyansh Joshi</t>
  </si>
  <si>
    <t>Vivaan Nair</t>
  </si>
  <si>
    <t>Aditya Pawar</t>
  </si>
  <si>
    <t>Rohan Suryavanshi</t>
  </si>
  <si>
    <t>Krish Bhosale</t>
  </si>
  <si>
    <t>Samarth Shinde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</si>
</sst>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6" borderId="0" xfId="0" applyFill="1"/>
    <xf numFmtId="0" fontId="0" fillId="2" borderId="0" xfId="0" applyFill="1"/>
    <xf numFmtId="0" fontId="0" fillId="7" borderId="0" xfId="0" applyFill="1"/>
    <xf numFmtId="16" fontId="0" fillId="7" borderId="0" xfId="0" applyNumberFormat="1" applyFill="1"/>
    <xf numFmtId="0" fontId="0" fillId="8" borderId="0" xfId="0" applyFill="1"/>
    <xf numFmtId="0" fontId="2" fillId="0" borderId="0" xfId="0" applyFont="1"/>
    <xf numFmtId="0" fontId="0" fillId="3" borderId="0" xfId="0" applyFill="1"/>
    <xf numFmtId="0" fontId="1" fillId="0" borderId="0" xfId="0" applyFont="1"/>
    <xf numFmtId="0" fontId="1" fillId="2" borderId="0" xfId="0" applyFont="1" applyFill="1"/>
    <xf numFmtId="0" fontId="0" fillId="4" borderId="0" xfId="0" applyFill="1"/>
    <xf numFmtId="0" fontId="0" fillId="5" borderId="0" xfId="0" applyFill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vertical="top"/>
    </xf>
    <xf numFmtId="0" fontId="1" fillId="8" borderId="0" xfId="0" applyFont="1" applyFill="1" applyAlignment="1">
      <alignment vertical="top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i\Downloads\Excel07%20-%20LOOKUP.xlsx" TargetMode="External"/><Relationship Id="rId1" Type="http://schemas.openxmlformats.org/officeDocument/2006/relationships/externalLinkPath" Target="/Users/hi/Downloads/Excel07%20-%20LOOK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OOKUP"/>
      <sheetName val="H"/>
      <sheetName val="X"/>
      <sheetName val="V"/>
      <sheetName val="VD"/>
      <sheetName val="Match Index"/>
      <sheetName val="Match+Index"/>
    </sheetNames>
    <sheetDataSet>
      <sheetData sheetId="0"/>
      <sheetData sheetId="1"/>
      <sheetData sheetId="2"/>
      <sheetData sheetId="3"/>
      <sheetData sheetId="4">
        <row r="1">
          <cell r="A1" t="str">
            <v>Roll No</v>
          </cell>
          <cell r="B1" t="str">
            <v>Full Name</v>
          </cell>
          <cell r="C1" t="str">
            <v>Physics</v>
          </cell>
          <cell r="D1" t="str">
            <v>Chemistry</v>
          </cell>
          <cell r="E1" t="str">
            <v>Mathematics</v>
          </cell>
        </row>
        <row r="2">
          <cell r="A2">
            <v>1</v>
          </cell>
          <cell r="B2" t="str">
            <v>Aarav Patil</v>
          </cell>
          <cell r="C2">
            <v>78</v>
          </cell>
          <cell r="D2">
            <v>90</v>
          </cell>
          <cell r="E2">
            <v>34</v>
          </cell>
        </row>
        <row r="3">
          <cell r="A3">
            <v>2</v>
          </cell>
          <cell r="B3" t="str">
            <v>Vihaan Deshmukh</v>
          </cell>
          <cell r="C3">
            <v>33</v>
          </cell>
          <cell r="D3">
            <v>44</v>
          </cell>
          <cell r="E3">
            <v>32</v>
          </cell>
        </row>
        <row r="4">
          <cell r="A4">
            <v>3</v>
          </cell>
          <cell r="B4" t="str">
            <v>Ayaan Jadhav</v>
          </cell>
          <cell r="C4">
            <v>75</v>
          </cell>
          <cell r="D4">
            <v>88</v>
          </cell>
          <cell r="E4">
            <v>84</v>
          </cell>
        </row>
        <row r="5">
          <cell r="A5">
            <v>4</v>
          </cell>
          <cell r="B5" t="str">
            <v>Arjun More</v>
          </cell>
          <cell r="C5">
            <v>89</v>
          </cell>
          <cell r="D5">
            <v>91</v>
          </cell>
          <cell r="E5">
            <v>78</v>
          </cell>
        </row>
        <row r="6">
          <cell r="A6">
            <v>5</v>
          </cell>
          <cell r="B6" t="str">
            <v>Reyansh Joshi</v>
          </cell>
          <cell r="C6">
            <v>80</v>
          </cell>
          <cell r="D6">
            <v>22</v>
          </cell>
          <cell r="E6">
            <v>85</v>
          </cell>
        </row>
        <row r="7">
          <cell r="A7">
            <v>6</v>
          </cell>
          <cell r="B7" t="str">
            <v>Vivaan Nair</v>
          </cell>
          <cell r="C7">
            <v>83</v>
          </cell>
          <cell r="D7">
            <v>79</v>
          </cell>
          <cell r="E7">
            <v>90</v>
          </cell>
        </row>
        <row r="8">
          <cell r="A8">
            <v>7</v>
          </cell>
          <cell r="B8" t="str">
            <v>Aditya Pawar</v>
          </cell>
          <cell r="C8">
            <v>88</v>
          </cell>
          <cell r="D8">
            <v>76</v>
          </cell>
          <cell r="E8">
            <v>91</v>
          </cell>
        </row>
        <row r="9">
          <cell r="A9">
            <v>8</v>
          </cell>
          <cell r="B9" t="str">
            <v>Rohan Suryavanshi</v>
          </cell>
          <cell r="C9">
            <v>82</v>
          </cell>
          <cell r="D9">
            <v>90</v>
          </cell>
          <cell r="E9">
            <v>86</v>
          </cell>
        </row>
        <row r="10">
          <cell r="A10">
            <v>9</v>
          </cell>
          <cell r="B10" t="str">
            <v>Krish Bhosale</v>
          </cell>
          <cell r="C10">
            <v>85</v>
          </cell>
          <cell r="D10">
            <v>83</v>
          </cell>
          <cell r="E10">
            <v>89</v>
          </cell>
        </row>
        <row r="11">
          <cell r="A11">
            <v>10</v>
          </cell>
          <cell r="B11" t="str">
            <v>Samarth Shinde</v>
          </cell>
          <cell r="C11">
            <v>79</v>
          </cell>
          <cell r="D11">
            <v>87</v>
          </cell>
          <cell r="E11">
            <v>88</v>
          </cell>
        </row>
        <row r="12">
          <cell r="A12">
            <v>11</v>
          </cell>
          <cell r="B12" t="str">
            <v>Aarav Patil</v>
          </cell>
          <cell r="C12">
            <v>78</v>
          </cell>
          <cell r="D12">
            <v>90</v>
          </cell>
          <cell r="E12">
            <v>92</v>
          </cell>
        </row>
        <row r="13">
          <cell r="A13">
            <v>12</v>
          </cell>
          <cell r="B13" t="str">
            <v>Vihaan Deshmukh</v>
          </cell>
          <cell r="C13">
            <v>81</v>
          </cell>
          <cell r="D13">
            <v>85</v>
          </cell>
          <cell r="E13">
            <v>89</v>
          </cell>
        </row>
        <row r="14">
          <cell r="A14">
            <v>13</v>
          </cell>
          <cell r="B14" t="str">
            <v>Ayaan Jadhav</v>
          </cell>
          <cell r="C14">
            <v>75</v>
          </cell>
          <cell r="D14">
            <v>88</v>
          </cell>
          <cell r="E14">
            <v>84</v>
          </cell>
        </row>
        <row r="15">
          <cell r="A15">
            <v>14</v>
          </cell>
          <cell r="B15" t="str">
            <v>Arjun More</v>
          </cell>
          <cell r="C15">
            <v>89</v>
          </cell>
          <cell r="D15">
            <v>91</v>
          </cell>
          <cell r="E15">
            <v>78</v>
          </cell>
        </row>
        <row r="16">
          <cell r="A16">
            <v>15</v>
          </cell>
          <cell r="B16" t="str">
            <v>Reyansh Joshi</v>
          </cell>
          <cell r="C16">
            <v>80</v>
          </cell>
          <cell r="D16">
            <v>84</v>
          </cell>
          <cell r="E16">
            <v>85</v>
          </cell>
        </row>
        <row r="17">
          <cell r="A17">
            <v>16</v>
          </cell>
          <cell r="B17" t="str">
            <v>Vivaan Nair</v>
          </cell>
          <cell r="C17">
            <v>83</v>
          </cell>
          <cell r="D17">
            <v>79</v>
          </cell>
          <cell r="E17">
            <v>90</v>
          </cell>
        </row>
        <row r="18">
          <cell r="A18">
            <v>17</v>
          </cell>
          <cell r="B18" t="str">
            <v>Aditya Pawar</v>
          </cell>
          <cell r="C18">
            <v>88</v>
          </cell>
          <cell r="D18">
            <v>76</v>
          </cell>
          <cell r="E18">
            <v>91</v>
          </cell>
        </row>
        <row r="19">
          <cell r="A19">
            <v>18</v>
          </cell>
          <cell r="B19" t="str">
            <v>Rohan Suryavanshi</v>
          </cell>
          <cell r="C19">
            <v>82</v>
          </cell>
          <cell r="D19">
            <v>90</v>
          </cell>
          <cell r="E19">
            <v>86</v>
          </cell>
        </row>
        <row r="20">
          <cell r="A20">
            <v>19</v>
          </cell>
          <cell r="B20" t="str">
            <v>Krish Bhosale</v>
          </cell>
          <cell r="C20">
            <v>85</v>
          </cell>
          <cell r="D20">
            <v>83</v>
          </cell>
          <cell r="E20">
            <v>89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8CBCA-E5ED-4BCA-8A50-6DD9B08BE174}">
  <dimension ref="A1:D33"/>
  <sheetViews>
    <sheetView topLeftCell="A7" zoomScale="85" zoomScaleNormal="85" workbookViewId="0">
      <selection activeCell="J25" sqref="J25"/>
    </sheetView>
  </sheetViews>
  <sheetFormatPr defaultRowHeight="14.4" x14ac:dyDescent="0.3"/>
  <cols>
    <col min="1" max="1" width="37.21875" bestFit="1" customWidth="1"/>
    <col min="2" max="2" width="84.77734375" bestFit="1" customWidth="1"/>
    <col min="3" max="3" width="33.77734375" bestFit="1" customWidth="1"/>
    <col min="4" max="4" width="20.44140625" bestFit="1" customWidth="1"/>
  </cols>
  <sheetData>
    <row r="1" spans="1:4" x14ac:dyDescent="0.3">
      <c r="A1" s="2" t="s">
        <v>0</v>
      </c>
      <c r="B1" s="1" t="s">
        <v>1</v>
      </c>
      <c r="C1" s="3"/>
      <c r="D1" s="5"/>
    </row>
    <row r="2" spans="1:4" x14ac:dyDescent="0.3">
      <c r="A2" s="2"/>
      <c r="B2" s="1"/>
      <c r="C2" s="3"/>
      <c r="D2" s="5"/>
    </row>
    <row r="3" spans="1:4" x14ac:dyDescent="0.3">
      <c r="A3" s="2" t="s">
        <v>2</v>
      </c>
      <c r="B3" s="1" t="s">
        <v>3</v>
      </c>
      <c r="C3" s="3"/>
      <c r="D3" s="5"/>
    </row>
    <row r="4" spans="1:4" x14ac:dyDescent="0.3">
      <c r="A4" s="2"/>
      <c r="B4" s="1"/>
      <c r="C4" s="3"/>
      <c r="D4" s="5"/>
    </row>
    <row r="5" spans="1:4" x14ac:dyDescent="0.3">
      <c r="A5" s="2"/>
      <c r="B5" s="1"/>
      <c r="C5" s="3"/>
      <c r="D5" s="5"/>
    </row>
    <row r="6" spans="1:4" x14ac:dyDescent="0.3">
      <c r="A6" s="2"/>
      <c r="B6" s="1"/>
      <c r="C6" s="3"/>
      <c r="D6" s="5"/>
    </row>
    <row r="7" spans="1:4" x14ac:dyDescent="0.3">
      <c r="A7" s="2"/>
      <c r="B7" s="1" t="s">
        <v>3</v>
      </c>
      <c r="C7" s="3"/>
      <c r="D7" s="5"/>
    </row>
    <row r="8" spans="1:4" x14ac:dyDescent="0.3">
      <c r="A8" s="2"/>
      <c r="B8" s="1" t="s">
        <v>4</v>
      </c>
      <c r="C8" s="4" t="s">
        <v>5</v>
      </c>
      <c r="D8" s="5"/>
    </row>
    <row r="9" spans="1:4" x14ac:dyDescent="0.3">
      <c r="A9" s="2"/>
      <c r="B9" s="1" t="s">
        <v>6</v>
      </c>
      <c r="C9" s="3"/>
      <c r="D9" s="5"/>
    </row>
    <row r="10" spans="1:4" x14ac:dyDescent="0.3">
      <c r="A10" s="2"/>
      <c r="B10" s="1" t="s">
        <v>7</v>
      </c>
      <c r="C10" s="3" t="s">
        <v>8</v>
      </c>
      <c r="D10" s="5"/>
    </row>
    <row r="11" spans="1:4" x14ac:dyDescent="0.3">
      <c r="A11" s="2"/>
      <c r="B11" s="1" t="s">
        <v>9</v>
      </c>
      <c r="C11" s="3" t="s">
        <v>10</v>
      </c>
      <c r="D11" s="5"/>
    </row>
    <row r="12" spans="1:4" x14ac:dyDescent="0.3">
      <c r="A12" s="2"/>
      <c r="B12" s="1"/>
      <c r="C12" s="3"/>
      <c r="D12" s="5"/>
    </row>
    <row r="13" spans="1:4" x14ac:dyDescent="0.3">
      <c r="A13" s="2"/>
      <c r="B13" s="1"/>
      <c r="C13" s="3"/>
      <c r="D13" s="5"/>
    </row>
    <row r="14" spans="1:4" x14ac:dyDescent="0.3">
      <c r="A14" s="2" t="s">
        <v>11</v>
      </c>
      <c r="B14" s="1" t="s">
        <v>12</v>
      </c>
      <c r="C14" s="3"/>
      <c r="D14" s="5"/>
    </row>
    <row r="15" spans="1:4" x14ac:dyDescent="0.3">
      <c r="A15" s="2"/>
      <c r="B15" s="1" t="s">
        <v>13</v>
      </c>
      <c r="C15" s="3"/>
      <c r="D15" s="5"/>
    </row>
    <row r="16" spans="1:4" x14ac:dyDescent="0.3">
      <c r="A16" s="2"/>
      <c r="B16" s="1" t="s">
        <v>14</v>
      </c>
      <c r="C16" s="3"/>
      <c r="D16" s="5"/>
    </row>
    <row r="17" spans="1:4" x14ac:dyDescent="0.3">
      <c r="A17" s="2"/>
      <c r="B17" s="1" t="s">
        <v>15</v>
      </c>
      <c r="C17" s="3"/>
      <c r="D17" s="5"/>
    </row>
    <row r="18" spans="1:4" x14ac:dyDescent="0.3">
      <c r="A18" s="2"/>
      <c r="B18" s="1" t="s">
        <v>16</v>
      </c>
      <c r="C18" s="3"/>
      <c r="D18" s="5"/>
    </row>
    <row r="19" spans="1:4" x14ac:dyDescent="0.3">
      <c r="A19" s="2"/>
      <c r="B19" s="1"/>
      <c r="C19" s="3"/>
      <c r="D19" s="5"/>
    </row>
    <row r="20" spans="1:4" x14ac:dyDescent="0.3">
      <c r="A20" s="2"/>
      <c r="B20" s="1"/>
      <c r="C20" s="3"/>
      <c r="D20" s="5"/>
    </row>
    <row r="21" spans="1:4" x14ac:dyDescent="0.3">
      <c r="A21" s="2"/>
      <c r="B21" s="1"/>
      <c r="C21" s="3"/>
      <c r="D21" s="5"/>
    </row>
    <row r="22" spans="1:4" x14ac:dyDescent="0.3">
      <c r="A22" s="2" t="s">
        <v>0</v>
      </c>
      <c r="B22" s="1" t="s">
        <v>2</v>
      </c>
      <c r="C22" s="3"/>
      <c r="D22" s="5"/>
    </row>
    <row r="23" spans="1:4" x14ac:dyDescent="0.3">
      <c r="A23" s="2" t="s">
        <v>17</v>
      </c>
      <c r="B23" s="1" t="s">
        <v>3</v>
      </c>
      <c r="C23" s="3"/>
      <c r="D23" s="5" t="s">
        <v>18</v>
      </c>
    </row>
    <row r="24" spans="1:4" x14ac:dyDescent="0.3">
      <c r="A24" s="2" t="s">
        <v>19</v>
      </c>
      <c r="B24" s="1" t="s">
        <v>41</v>
      </c>
      <c r="C24" s="3"/>
      <c r="D24" s="5" t="s">
        <v>20</v>
      </c>
    </row>
    <row r="25" spans="1:4" x14ac:dyDescent="0.3">
      <c r="A25" s="2" t="s">
        <v>21</v>
      </c>
      <c r="B25" s="1" t="s">
        <v>22</v>
      </c>
      <c r="C25" s="3"/>
      <c r="D25" s="5"/>
    </row>
    <row r="26" spans="1:4" x14ac:dyDescent="0.3">
      <c r="A26" s="2"/>
      <c r="B26" s="1"/>
      <c r="C26" s="3"/>
      <c r="D26" s="5"/>
    </row>
    <row r="27" spans="1:4" x14ac:dyDescent="0.3">
      <c r="A27" s="2" t="s">
        <v>23</v>
      </c>
      <c r="B27" s="1" t="s">
        <v>24</v>
      </c>
      <c r="C27" s="3" t="s">
        <v>25</v>
      </c>
      <c r="D27" s="5"/>
    </row>
    <row r="28" spans="1:4" x14ac:dyDescent="0.3">
      <c r="A28" s="2" t="s">
        <v>26</v>
      </c>
      <c r="B28" s="1" t="s">
        <v>27</v>
      </c>
      <c r="C28" s="3" t="s">
        <v>28</v>
      </c>
      <c r="D28" s="5"/>
    </row>
    <row r="29" spans="1:4" x14ac:dyDescent="0.3">
      <c r="A29" s="2"/>
      <c r="B29" s="1"/>
      <c r="C29" s="3"/>
      <c r="D29" s="5"/>
    </row>
    <row r="30" spans="1:4" x14ac:dyDescent="0.3">
      <c r="A30" s="2" t="s">
        <v>29</v>
      </c>
      <c r="B30" s="1" t="s">
        <v>30</v>
      </c>
      <c r="C30" s="3"/>
      <c r="D30" s="5"/>
    </row>
    <row r="31" spans="1:4" x14ac:dyDescent="0.3">
      <c r="A31" s="2"/>
      <c r="B31" s="1" t="s">
        <v>31</v>
      </c>
      <c r="C31" s="3"/>
      <c r="D31" s="5"/>
    </row>
    <row r="32" spans="1:4" x14ac:dyDescent="0.3">
      <c r="A32" s="2"/>
      <c r="B32" s="1" t="s">
        <v>32</v>
      </c>
      <c r="C32" s="3"/>
      <c r="D32" s="5"/>
    </row>
    <row r="33" spans="1:4" x14ac:dyDescent="0.3">
      <c r="A33" s="2"/>
      <c r="B33" s="1" t="s">
        <v>33</v>
      </c>
      <c r="C33" s="3"/>
      <c r="D33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7F790-F601-4C8C-8007-D76EDB3B77E3}">
  <dimension ref="A1:P18"/>
  <sheetViews>
    <sheetView workbookViewId="0">
      <selection activeCell="P15" sqref="P15"/>
    </sheetView>
  </sheetViews>
  <sheetFormatPr defaultRowHeight="14.4" x14ac:dyDescent="0.3"/>
  <sheetData>
    <row r="1" spans="1:16" x14ac:dyDescent="0.3">
      <c r="A1" s="8" t="s">
        <v>34</v>
      </c>
      <c r="B1" s="8">
        <v>2010</v>
      </c>
      <c r="C1" s="8">
        <v>2011</v>
      </c>
      <c r="D1" s="8">
        <v>2012</v>
      </c>
      <c r="E1" s="8">
        <v>2013</v>
      </c>
      <c r="F1" s="8">
        <v>2014</v>
      </c>
      <c r="G1" s="9">
        <v>2015</v>
      </c>
      <c r="H1" s="8">
        <v>2016</v>
      </c>
      <c r="I1" s="8">
        <v>2017</v>
      </c>
      <c r="J1" s="8">
        <v>2018</v>
      </c>
      <c r="K1" s="8">
        <v>2019</v>
      </c>
      <c r="L1" s="8">
        <v>2020</v>
      </c>
      <c r="M1" s="8">
        <v>2021</v>
      </c>
      <c r="N1" s="8">
        <v>2022</v>
      </c>
      <c r="O1" s="8">
        <v>2023</v>
      </c>
      <c r="P1" s="8">
        <v>2024</v>
      </c>
    </row>
    <row r="2" spans="1:16" x14ac:dyDescent="0.3">
      <c r="A2" s="8" t="s">
        <v>35</v>
      </c>
      <c r="B2">
        <v>10919</v>
      </c>
      <c r="C2">
        <v>12252</v>
      </c>
      <c r="D2">
        <v>18829</v>
      </c>
      <c r="E2">
        <v>18263</v>
      </c>
      <c r="F2">
        <v>15014</v>
      </c>
      <c r="G2" s="7">
        <v>13194</v>
      </c>
      <c r="H2">
        <v>14049</v>
      </c>
      <c r="I2">
        <v>10779</v>
      </c>
      <c r="J2">
        <v>14673</v>
      </c>
      <c r="K2">
        <v>10814</v>
      </c>
      <c r="L2">
        <v>10364</v>
      </c>
      <c r="M2">
        <v>17056</v>
      </c>
      <c r="N2">
        <v>11703</v>
      </c>
      <c r="O2">
        <v>18443</v>
      </c>
      <c r="P2">
        <v>17111</v>
      </c>
    </row>
    <row r="3" spans="1:16" x14ac:dyDescent="0.3">
      <c r="A3" s="8" t="s">
        <v>36</v>
      </c>
      <c r="B3">
        <v>14967</v>
      </c>
      <c r="C3">
        <v>17730</v>
      </c>
      <c r="D3">
        <v>12778</v>
      </c>
      <c r="E3">
        <v>17554</v>
      </c>
      <c r="F3">
        <v>15955</v>
      </c>
      <c r="G3">
        <v>14323</v>
      </c>
      <c r="H3">
        <v>19377</v>
      </c>
      <c r="I3">
        <v>16454</v>
      </c>
      <c r="J3">
        <v>16245</v>
      </c>
      <c r="K3">
        <v>18241</v>
      </c>
      <c r="L3">
        <v>18676</v>
      </c>
      <c r="M3">
        <v>18491</v>
      </c>
      <c r="N3">
        <v>16148</v>
      </c>
      <c r="O3">
        <v>12722</v>
      </c>
      <c r="P3">
        <v>11420</v>
      </c>
    </row>
    <row r="4" spans="1:16" x14ac:dyDescent="0.3">
      <c r="A4" s="8" t="s">
        <v>37</v>
      </c>
      <c r="B4">
        <v>19587</v>
      </c>
      <c r="C4">
        <v>13208</v>
      </c>
      <c r="D4">
        <v>14514</v>
      </c>
      <c r="E4">
        <v>14564</v>
      </c>
      <c r="F4">
        <v>17344</v>
      </c>
      <c r="G4" s="11">
        <v>17367</v>
      </c>
      <c r="H4">
        <v>17720</v>
      </c>
      <c r="I4">
        <v>17150</v>
      </c>
      <c r="J4">
        <v>11828</v>
      </c>
      <c r="K4">
        <v>16089</v>
      </c>
      <c r="L4" s="11">
        <v>13741</v>
      </c>
      <c r="M4">
        <v>15527</v>
      </c>
      <c r="N4">
        <v>11557</v>
      </c>
      <c r="O4">
        <v>17464</v>
      </c>
      <c r="P4" s="11">
        <v>15421</v>
      </c>
    </row>
    <row r="5" spans="1:16" x14ac:dyDescent="0.3">
      <c r="A5" s="8" t="s">
        <v>38</v>
      </c>
      <c r="B5">
        <v>11095</v>
      </c>
      <c r="C5">
        <v>15716</v>
      </c>
      <c r="D5">
        <v>10281</v>
      </c>
      <c r="E5">
        <v>12740</v>
      </c>
      <c r="F5">
        <v>14515</v>
      </c>
      <c r="G5" s="10">
        <v>10178</v>
      </c>
      <c r="H5">
        <v>19709</v>
      </c>
      <c r="I5">
        <v>15505</v>
      </c>
      <c r="J5">
        <v>14563</v>
      </c>
      <c r="K5">
        <v>19906</v>
      </c>
      <c r="L5">
        <v>14016</v>
      </c>
      <c r="M5">
        <v>11941</v>
      </c>
      <c r="N5">
        <v>18107</v>
      </c>
      <c r="O5">
        <v>18676</v>
      </c>
      <c r="P5">
        <v>16973</v>
      </c>
    </row>
    <row r="6" spans="1:16" x14ac:dyDescent="0.3">
      <c r="A6" s="8" t="s">
        <v>39</v>
      </c>
      <c r="B6" s="8">
        <v>56568</v>
      </c>
      <c r="C6" s="8">
        <v>58906</v>
      </c>
      <c r="D6" s="8">
        <v>56402</v>
      </c>
      <c r="E6" s="8">
        <v>63121</v>
      </c>
      <c r="F6" s="8">
        <v>62828</v>
      </c>
      <c r="G6" s="8">
        <v>55062</v>
      </c>
      <c r="H6" s="8">
        <v>70855</v>
      </c>
      <c r="I6" s="8">
        <v>59888</v>
      </c>
      <c r="J6" s="8">
        <v>57309</v>
      </c>
      <c r="K6" s="8">
        <v>65050</v>
      </c>
      <c r="L6" s="8">
        <v>56797</v>
      </c>
      <c r="M6" s="8">
        <v>63015</v>
      </c>
      <c r="N6" s="8">
        <v>57515</v>
      </c>
      <c r="O6" s="8">
        <v>67305</v>
      </c>
      <c r="P6" s="8">
        <v>60925</v>
      </c>
    </row>
    <row r="9" spans="1:16" x14ac:dyDescent="0.3">
      <c r="A9" s="8" t="s">
        <v>40</v>
      </c>
    </row>
    <row r="10" spans="1:16" x14ac:dyDescent="0.3">
      <c r="A10" s="8" t="s">
        <v>19</v>
      </c>
      <c r="C10" s="8" t="s">
        <v>42</v>
      </c>
    </row>
    <row r="11" spans="1:16" ht="18" x14ac:dyDescent="0.35">
      <c r="C11" s="12" t="s">
        <v>43</v>
      </c>
      <c r="D11" s="13"/>
      <c r="E11" s="13"/>
      <c r="F11" s="13"/>
      <c r="G11" s="13"/>
    </row>
    <row r="12" spans="1:16" x14ac:dyDescent="0.3">
      <c r="D12" s="8" t="s">
        <v>35</v>
      </c>
      <c r="E12" s="8" t="s">
        <v>36</v>
      </c>
      <c r="F12" s="8" t="s">
        <v>38</v>
      </c>
      <c r="K12" s="6"/>
      <c r="L12" s="6" t="s">
        <v>44</v>
      </c>
      <c r="M12" s="6"/>
      <c r="N12" s="6"/>
      <c r="O12" s="6"/>
    </row>
    <row r="13" spans="1:16" x14ac:dyDescent="0.3">
      <c r="C13" s="8">
        <v>2015</v>
      </c>
      <c r="D13">
        <f>HLOOKUP(C13,$A$1:$P$6,2,0)</f>
        <v>13194</v>
      </c>
      <c r="E13">
        <f>HLOOKUP(C13,$A$1:$P$6,3,0)</f>
        <v>14323</v>
      </c>
      <c r="F13">
        <f>HLOOKUP(C13,$A$1:$P$6,5,0)</f>
        <v>10178</v>
      </c>
      <c r="L13" s="8">
        <v>2015</v>
      </c>
      <c r="M13" s="8">
        <v>2020</v>
      </c>
    </row>
    <row r="14" spans="1:16" x14ac:dyDescent="0.3">
      <c r="C14" s="8">
        <v>2018</v>
      </c>
      <c r="D14">
        <f t="shared" ref="D14:D15" si="0">HLOOKUP(C14,$A$1:$P$6,2,0)</f>
        <v>14673</v>
      </c>
      <c r="E14">
        <f t="shared" ref="E14:E15" si="1">HLOOKUP(C14,$A$1:$P$6,3,0)</f>
        <v>16245</v>
      </c>
      <c r="F14">
        <f t="shared" ref="F14:F15" si="2">HLOOKUP(C14,$A$1:$P$6,5,0)</f>
        <v>14563</v>
      </c>
      <c r="K14" s="8" t="s">
        <v>35</v>
      </c>
      <c r="L14">
        <f>VLOOKUP(K14,$A$1:$L$6,7,0)</f>
        <v>13194</v>
      </c>
      <c r="M14">
        <f>VLOOKUP(K14,$A$1:$L$6,12,0)</f>
        <v>10364</v>
      </c>
    </row>
    <row r="15" spans="1:16" x14ac:dyDescent="0.3">
      <c r="C15" s="8">
        <v>2023</v>
      </c>
      <c r="D15">
        <f t="shared" si="0"/>
        <v>18443</v>
      </c>
      <c r="E15">
        <f t="shared" si="1"/>
        <v>12722</v>
      </c>
      <c r="F15">
        <f t="shared" si="2"/>
        <v>18676</v>
      </c>
      <c r="K15" s="8" t="s">
        <v>36</v>
      </c>
      <c r="L15">
        <f t="shared" ref="L15:L17" si="3">VLOOKUP(K15,$A$1:$L$6,7,0)</f>
        <v>14323</v>
      </c>
      <c r="M15">
        <f t="shared" ref="M15:M17" si="4">VLOOKUP(K15,$A$1:$L$6,12,0)</f>
        <v>18676</v>
      </c>
    </row>
    <row r="16" spans="1:16" x14ac:dyDescent="0.3">
      <c r="K16" s="8" t="s">
        <v>37</v>
      </c>
      <c r="L16">
        <f t="shared" si="3"/>
        <v>17367</v>
      </c>
      <c r="M16">
        <f t="shared" si="4"/>
        <v>13741</v>
      </c>
    </row>
    <row r="17" spans="11:13" x14ac:dyDescent="0.3">
      <c r="K17" s="8" t="s">
        <v>38</v>
      </c>
      <c r="L17">
        <f t="shared" si="3"/>
        <v>10178</v>
      </c>
      <c r="M17">
        <f t="shared" si="4"/>
        <v>14016</v>
      </c>
    </row>
    <row r="18" spans="11:13" x14ac:dyDescent="0.3">
      <c r="K18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045C3-D52D-4908-A5E0-86F8DEDFAF4A}">
  <dimension ref="A1:M13"/>
  <sheetViews>
    <sheetView workbookViewId="0">
      <selection activeCell="E22" sqref="E22"/>
    </sheetView>
  </sheetViews>
  <sheetFormatPr defaultRowHeight="14.4" x14ac:dyDescent="0.3"/>
  <cols>
    <col min="2" max="2" width="43.77734375" customWidth="1"/>
    <col min="4" max="4" width="9.88671875" bestFit="1" customWidth="1"/>
    <col min="5" max="5" width="10.5546875" bestFit="1" customWidth="1"/>
  </cols>
  <sheetData>
    <row r="1" spans="1:13" ht="72" x14ac:dyDescent="0.3">
      <c r="A1" s="14" t="s">
        <v>21</v>
      </c>
      <c r="B1" s="15" t="s">
        <v>45</v>
      </c>
    </row>
    <row r="3" spans="1:13" x14ac:dyDescent="0.3">
      <c r="C3" s="16" t="s">
        <v>46</v>
      </c>
      <c r="D3" s="16" t="s">
        <v>47</v>
      </c>
      <c r="E3" s="16" t="s">
        <v>48</v>
      </c>
      <c r="F3" s="16" t="s">
        <v>69</v>
      </c>
      <c r="K3" s="16" t="s">
        <v>69</v>
      </c>
      <c r="L3" s="16" t="s">
        <v>46</v>
      </c>
      <c r="M3" s="16" t="s">
        <v>70</v>
      </c>
    </row>
    <row r="4" spans="1:13" x14ac:dyDescent="0.3">
      <c r="C4">
        <v>1</v>
      </c>
      <c r="D4" t="s">
        <v>49</v>
      </c>
      <c r="E4" t="s">
        <v>50</v>
      </c>
      <c r="K4">
        <v>90</v>
      </c>
      <c r="L4">
        <v>1</v>
      </c>
      <c r="M4">
        <v>80</v>
      </c>
    </row>
    <row r="5" spans="1:13" x14ac:dyDescent="0.3">
      <c r="C5">
        <v>2</v>
      </c>
      <c r="D5" t="s">
        <v>51</v>
      </c>
      <c r="E5" t="s">
        <v>52</v>
      </c>
      <c r="K5">
        <v>44</v>
      </c>
      <c r="L5">
        <v>2</v>
      </c>
      <c r="M5">
        <v>44</v>
      </c>
    </row>
    <row r="6" spans="1:13" x14ac:dyDescent="0.3">
      <c r="C6">
        <v>3</v>
      </c>
      <c r="D6" t="s">
        <v>53</v>
      </c>
      <c r="E6" t="s">
        <v>54</v>
      </c>
      <c r="K6">
        <v>88</v>
      </c>
      <c r="L6">
        <v>3</v>
      </c>
      <c r="M6">
        <v>35</v>
      </c>
    </row>
    <row r="7" spans="1:13" x14ac:dyDescent="0.3">
      <c r="C7">
        <v>4</v>
      </c>
      <c r="D7" t="s">
        <v>55</v>
      </c>
      <c r="E7" t="s">
        <v>56</v>
      </c>
      <c r="K7">
        <v>91</v>
      </c>
      <c r="L7">
        <v>4</v>
      </c>
      <c r="M7">
        <v>91</v>
      </c>
    </row>
    <row r="8" spans="1:13" x14ac:dyDescent="0.3">
      <c r="C8">
        <v>5</v>
      </c>
      <c r="D8" t="s">
        <v>57</v>
      </c>
      <c r="E8" t="s">
        <v>58</v>
      </c>
      <c r="K8">
        <v>22</v>
      </c>
      <c r="L8">
        <v>5</v>
      </c>
      <c r="M8">
        <v>54</v>
      </c>
    </row>
    <row r="9" spans="1:13" x14ac:dyDescent="0.3">
      <c r="C9">
        <v>6</v>
      </c>
      <c r="D9" t="s">
        <v>59</v>
      </c>
      <c r="E9" t="s">
        <v>60</v>
      </c>
      <c r="K9">
        <v>79</v>
      </c>
      <c r="L9">
        <v>6</v>
      </c>
      <c r="M9">
        <v>89</v>
      </c>
    </row>
    <row r="10" spans="1:13" x14ac:dyDescent="0.3">
      <c r="C10">
        <v>7</v>
      </c>
      <c r="D10" t="s">
        <v>61</v>
      </c>
      <c r="E10" t="s">
        <v>62</v>
      </c>
      <c r="K10">
        <v>76</v>
      </c>
      <c r="L10">
        <v>7</v>
      </c>
      <c r="M10">
        <v>57</v>
      </c>
    </row>
    <row r="11" spans="1:13" x14ac:dyDescent="0.3">
      <c r="C11">
        <v>8</v>
      </c>
      <c r="D11" t="s">
        <v>63</v>
      </c>
      <c r="E11" t="s">
        <v>64</v>
      </c>
      <c r="K11">
        <v>90</v>
      </c>
      <c r="L11">
        <v>8</v>
      </c>
      <c r="M11">
        <v>78</v>
      </c>
    </row>
    <row r="12" spans="1:13" x14ac:dyDescent="0.3">
      <c r="C12">
        <v>9</v>
      </c>
      <c r="D12" t="s">
        <v>65</v>
      </c>
      <c r="E12" t="s">
        <v>66</v>
      </c>
      <c r="K12">
        <v>83</v>
      </c>
      <c r="L12">
        <v>9</v>
      </c>
      <c r="M12">
        <v>34</v>
      </c>
    </row>
    <row r="13" spans="1:13" x14ac:dyDescent="0.3">
      <c r="C13">
        <v>10</v>
      </c>
      <c r="D13" t="s">
        <v>67</v>
      </c>
      <c r="E13" t="s">
        <v>68</v>
      </c>
      <c r="K13">
        <v>87</v>
      </c>
      <c r="L13">
        <v>10</v>
      </c>
      <c r="M13">
        <v>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94DC9-7727-4173-A5F0-EDC7A7622FB1}">
  <dimension ref="A1:E12"/>
  <sheetViews>
    <sheetView tabSelected="1" workbookViewId="0">
      <selection activeCell="B18" sqref="B18"/>
    </sheetView>
  </sheetViews>
  <sheetFormatPr defaultRowHeight="14.4" x14ac:dyDescent="0.3"/>
  <cols>
    <col min="2" max="2" width="16.33203125" bestFit="1" customWidth="1"/>
    <col min="5" max="5" width="11.6640625" bestFit="1" customWidth="1"/>
  </cols>
  <sheetData>
    <row r="1" spans="1:5" x14ac:dyDescent="0.3">
      <c r="A1" s="8" t="s">
        <v>46</v>
      </c>
      <c r="B1" s="8" t="s">
        <v>71</v>
      </c>
      <c r="C1" s="8" t="s">
        <v>72</v>
      </c>
      <c r="D1" s="8" t="s">
        <v>69</v>
      </c>
      <c r="E1" s="8" t="s">
        <v>73</v>
      </c>
    </row>
    <row r="2" spans="1:5" x14ac:dyDescent="0.3">
      <c r="A2">
        <v>1</v>
      </c>
      <c r="B2" t="str">
        <f t="array" ref="B2">VLOOKUP(A2,[1]VD!A:E,{2,3,5,4},0)</f>
        <v>Aarav Patil</v>
      </c>
    </row>
    <row r="3" spans="1:5" x14ac:dyDescent="0.3">
      <c r="A3">
        <v>3</v>
      </c>
      <c r="B3" t="str">
        <f t="array" ref="B3">VLOOKUP(A3,[1]VD!A:E,{2,3,5,4},0)</f>
        <v>Ayaan Jadhav</v>
      </c>
    </row>
    <row r="4" spans="1:5" x14ac:dyDescent="0.3">
      <c r="A4">
        <v>4</v>
      </c>
      <c r="B4" t="str">
        <f t="array" ref="B4">VLOOKUP(A4,[1]VD!A:E,{2,3,5,4},0)</f>
        <v>Arjun More</v>
      </c>
    </row>
    <row r="5" spans="1:5" x14ac:dyDescent="0.3">
      <c r="A5">
        <v>7</v>
      </c>
      <c r="B5" t="str">
        <f t="array" ref="B5">VLOOKUP(A5,[1]VD!A:E,{2,3,5,4},0)</f>
        <v>Aditya Pawar</v>
      </c>
    </row>
    <row r="6" spans="1:5" x14ac:dyDescent="0.3">
      <c r="A6">
        <v>8</v>
      </c>
      <c r="B6" t="str">
        <f t="array" ref="B6">VLOOKUP(A6,[1]VD!A:E,{2,3,5,4},0)</f>
        <v>Rohan Suryavanshi</v>
      </c>
    </row>
    <row r="7" spans="1:5" x14ac:dyDescent="0.3">
      <c r="A7">
        <v>9</v>
      </c>
      <c r="B7" t="str">
        <f t="array" ref="B7">VLOOKUP(A7,[1]VD!A:E,{2,3,5,4},0)</f>
        <v>Krish Bhosale</v>
      </c>
    </row>
    <row r="8" spans="1:5" x14ac:dyDescent="0.3">
      <c r="A8">
        <v>10</v>
      </c>
      <c r="B8" t="str">
        <f t="array" ref="B8">VLOOKUP(A8,[1]VD!A:E,{2,3,5,4},0)</f>
        <v>Samarth Shinde</v>
      </c>
    </row>
    <row r="9" spans="1:5" x14ac:dyDescent="0.3">
      <c r="A9">
        <v>11</v>
      </c>
      <c r="B9" t="str">
        <f t="array" ref="B9">VLOOKUP(A9,[1]VD!A:E,{2,3,5,4},0)</f>
        <v>Aarav Patil</v>
      </c>
    </row>
    <row r="10" spans="1:5" x14ac:dyDescent="0.3">
      <c r="A10">
        <v>15</v>
      </c>
      <c r="B10" t="str">
        <f t="array" ref="B10">VLOOKUP(A10,[1]VD!A:E,{2,3,5,4},0)</f>
        <v>Reyansh Joshi</v>
      </c>
    </row>
    <row r="11" spans="1:5" x14ac:dyDescent="0.3">
      <c r="A11">
        <v>16</v>
      </c>
      <c r="B11" t="str">
        <f t="array" ref="B11">VLOOKUP(A11,[1]VD!A:E,{2,3,5,4},0)</f>
        <v>Vivaan Nair</v>
      </c>
    </row>
    <row r="12" spans="1:5" x14ac:dyDescent="0.3">
      <c r="A12">
        <v>17</v>
      </c>
      <c r="B12" t="str">
        <f t="array" ref="B12">VLOOKUP(A12,[1]VD!A:E,{2,3,5,4},0)</f>
        <v>Aditya Pawar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AAFE-7914-4B77-B5A8-083AEFCC947A}">
  <dimension ref="A1:E20"/>
  <sheetViews>
    <sheetView workbookViewId="0">
      <selection sqref="A1:E1"/>
    </sheetView>
  </sheetViews>
  <sheetFormatPr defaultRowHeight="14.4" x14ac:dyDescent="0.3"/>
  <cols>
    <col min="3" max="3" width="7.109375" bestFit="1" customWidth="1"/>
    <col min="5" max="5" width="12" bestFit="1" customWidth="1"/>
  </cols>
  <sheetData>
    <row r="1" spans="1:5" x14ac:dyDescent="0.3">
      <c r="A1" s="8" t="s">
        <v>46</v>
      </c>
      <c r="B1" s="8" t="s">
        <v>71</v>
      </c>
      <c r="C1" s="8" t="s">
        <v>72</v>
      </c>
      <c r="D1" s="8" t="s">
        <v>69</v>
      </c>
      <c r="E1" s="8" t="s">
        <v>73</v>
      </c>
    </row>
    <row r="2" spans="1:5" x14ac:dyDescent="0.3">
      <c r="A2">
        <v>1</v>
      </c>
      <c r="B2" t="s">
        <v>74</v>
      </c>
      <c r="C2">
        <v>78</v>
      </c>
      <c r="D2">
        <v>90</v>
      </c>
      <c r="E2">
        <v>34</v>
      </c>
    </row>
    <row r="3" spans="1:5" x14ac:dyDescent="0.3">
      <c r="A3">
        <v>2</v>
      </c>
      <c r="B3" t="s">
        <v>75</v>
      </c>
      <c r="C3">
        <v>33</v>
      </c>
      <c r="D3">
        <v>44</v>
      </c>
      <c r="E3">
        <v>32</v>
      </c>
    </row>
    <row r="4" spans="1:5" x14ac:dyDescent="0.3">
      <c r="A4">
        <v>3</v>
      </c>
      <c r="B4" t="s">
        <v>76</v>
      </c>
      <c r="C4">
        <v>75</v>
      </c>
      <c r="D4">
        <v>88</v>
      </c>
      <c r="E4">
        <v>84</v>
      </c>
    </row>
    <row r="5" spans="1:5" x14ac:dyDescent="0.3">
      <c r="A5">
        <v>4</v>
      </c>
      <c r="B5" t="s">
        <v>77</v>
      </c>
      <c r="C5">
        <v>89</v>
      </c>
      <c r="D5">
        <v>91</v>
      </c>
      <c r="E5">
        <v>78</v>
      </c>
    </row>
    <row r="6" spans="1:5" x14ac:dyDescent="0.3">
      <c r="A6">
        <v>5</v>
      </c>
      <c r="B6" t="s">
        <v>78</v>
      </c>
      <c r="C6">
        <v>80</v>
      </c>
      <c r="D6">
        <v>22</v>
      </c>
      <c r="E6">
        <v>85</v>
      </c>
    </row>
    <row r="7" spans="1:5" x14ac:dyDescent="0.3">
      <c r="A7">
        <v>6</v>
      </c>
      <c r="B7" t="s">
        <v>79</v>
      </c>
      <c r="C7">
        <v>83</v>
      </c>
      <c r="D7">
        <v>79</v>
      </c>
      <c r="E7">
        <v>90</v>
      </c>
    </row>
    <row r="8" spans="1:5" x14ac:dyDescent="0.3">
      <c r="A8">
        <v>7</v>
      </c>
      <c r="B8" t="s">
        <v>80</v>
      </c>
      <c r="C8">
        <v>88</v>
      </c>
      <c r="D8">
        <v>76</v>
      </c>
      <c r="E8">
        <v>91</v>
      </c>
    </row>
    <row r="9" spans="1:5" x14ac:dyDescent="0.3">
      <c r="A9">
        <v>8</v>
      </c>
      <c r="B9" t="s">
        <v>81</v>
      </c>
      <c r="C9">
        <v>82</v>
      </c>
      <c r="D9">
        <v>90</v>
      </c>
      <c r="E9">
        <v>86</v>
      </c>
    </row>
    <row r="10" spans="1:5" x14ac:dyDescent="0.3">
      <c r="A10">
        <v>9</v>
      </c>
      <c r="B10" t="s">
        <v>82</v>
      </c>
      <c r="C10">
        <v>85</v>
      </c>
      <c r="D10">
        <v>83</v>
      </c>
      <c r="E10">
        <v>89</v>
      </c>
    </row>
    <row r="11" spans="1:5" x14ac:dyDescent="0.3">
      <c r="A11">
        <v>10</v>
      </c>
      <c r="B11" t="s">
        <v>83</v>
      </c>
      <c r="C11">
        <v>79</v>
      </c>
      <c r="D11">
        <v>87</v>
      </c>
      <c r="E11">
        <v>88</v>
      </c>
    </row>
    <row r="12" spans="1:5" x14ac:dyDescent="0.3">
      <c r="A12">
        <v>11</v>
      </c>
      <c r="B12" t="s">
        <v>74</v>
      </c>
      <c r="C12">
        <v>78</v>
      </c>
      <c r="D12">
        <v>90</v>
      </c>
      <c r="E12">
        <v>92</v>
      </c>
    </row>
    <row r="13" spans="1:5" x14ac:dyDescent="0.3">
      <c r="A13">
        <v>12</v>
      </c>
      <c r="B13" t="s">
        <v>75</v>
      </c>
      <c r="C13">
        <v>81</v>
      </c>
      <c r="D13">
        <v>85</v>
      </c>
      <c r="E13">
        <v>89</v>
      </c>
    </row>
    <row r="14" spans="1:5" x14ac:dyDescent="0.3">
      <c r="A14">
        <v>13</v>
      </c>
      <c r="B14" t="s">
        <v>76</v>
      </c>
      <c r="C14">
        <v>75</v>
      </c>
      <c r="D14">
        <v>88</v>
      </c>
      <c r="E14">
        <v>84</v>
      </c>
    </row>
    <row r="15" spans="1:5" x14ac:dyDescent="0.3">
      <c r="A15">
        <v>14</v>
      </c>
      <c r="B15" t="s">
        <v>77</v>
      </c>
      <c r="C15">
        <v>89</v>
      </c>
      <c r="D15">
        <v>91</v>
      </c>
      <c r="E15">
        <v>78</v>
      </c>
    </row>
    <row r="16" spans="1:5" x14ac:dyDescent="0.3">
      <c r="A16">
        <v>15</v>
      </c>
      <c r="B16" t="s">
        <v>78</v>
      </c>
      <c r="C16">
        <v>80</v>
      </c>
      <c r="D16">
        <v>84</v>
      </c>
      <c r="E16">
        <v>85</v>
      </c>
    </row>
    <row r="17" spans="1:5" x14ac:dyDescent="0.3">
      <c r="A17">
        <v>16</v>
      </c>
      <c r="B17" t="s">
        <v>79</v>
      </c>
      <c r="C17">
        <v>83</v>
      </c>
      <c r="D17">
        <v>79</v>
      </c>
      <c r="E17">
        <v>90</v>
      </c>
    </row>
    <row r="18" spans="1:5" x14ac:dyDescent="0.3">
      <c r="A18">
        <v>17</v>
      </c>
      <c r="B18" t="s">
        <v>80</v>
      </c>
      <c r="C18">
        <v>88</v>
      </c>
      <c r="D18">
        <v>76</v>
      </c>
      <c r="E18">
        <v>91</v>
      </c>
    </row>
    <row r="19" spans="1:5" x14ac:dyDescent="0.3">
      <c r="A19">
        <v>18</v>
      </c>
      <c r="B19" t="s">
        <v>81</v>
      </c>
      <c r="C19">
        <v>82</v>
      </c>
      <c r="D19">
        <v>90</v>
      </c>
      <c r="E19">
        <v>86</v>
      </c>
    </row>
    <row r="20" spans="1:5" x14ac:dyDescent="0.3">
      <c r="A20">
        <v>19</v>
      </c>
      <c r="B20" t="s">
        <v>82</v>
      </c>
      <c r="C20">
        <v>85</v>
      </c>
      <c r="D20">
        <v>83</v>
      </c>
      <c r="E20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H</vt:lpstr>
      <vt:lpstr>X</vt:lpstr>
      <vt:lpstr>V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Mansi Hase</dc:creator>
  <cp:lastModifiedBy>Mansi Hase</cp:lastModifiedBy>
  <dcterms:created xsi:type="dcterms:W3CDTF">2025-12-23T16:40:39Z</dcterms:created>
  <dcterms:modified xsi:type="dcterms:W3CDTF">2025-12-23T17:28:40Z</dcterms:modified>
</cp:coreProperties>
</file>