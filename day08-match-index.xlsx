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13_ncr:1_{3556A6C7-39C7-40DC-B075-0C25F13D7FF8}" xr6:coauthVersionLast="47" xr6:coauthVersionMax="47" xr10:uidLastSave="{00000000-0000-0000-0000-000000000000}"/>
  <bookViews>
    <workbookView xWindow="-108" yWindow="-108" windowWidth="23256" windowHeight="12456" activeTab="2" xr2:uid="{E659EB91-5A7F-4571-8259-7A7E7775EB4F}"/>
  </bookViews>
  <sheets>
    <sheet name="Sheet1" sheetId="1" r:id="rId1"/>
    <sheet name="Match-Index" sheetId="2" r:id="rId2"/>
    <sheet name="sumif-averageif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N6" i="3"/>
  <c r="N4" i="3"/>
  <c r="M4" i="3"/>
  <c r="M5" i="3"/>
  <c r="M6" i="3"/>
  <c r="L5" i="3"/>
  <c r="L6" i="3"/>
  <c r="L4" i="3"/>
  <c r="J5" i="3"/>
  <c r="J6" i="3"/>
  <c r="J4" i="3"/>
  <c r="I5" i="3"/>
  <c r="I6" i="3"/>
  <c r="I4" i="3"/>
  <c r="F6" i="3"/>
  <c r="F5" i="3"/>
  <c r="F4" i="3"/>
  <c r="F3" i="3"/>
  <c r="B14" i="2"/>
  <c r="B15" i="2"/>
  <c r="B16" i="2"/>
  <c r="B13" i="2"/>
  <c r="I13" i="1"/>
  <c r="I10" i="1"/>
</calcChain>
</file>

<file path=xl/sharedStrings.xml><?xml version="1.0" encoding="utf-8"?>
<sst xmlns="http://schemas.openxmlformats.org/spreadsheetml/2006/main" count="101" uniqueCount="61">
  <si>
    <t>Full Name</t>
  </si>
  <si>
    <t>Physics</t>
  </si>
  <si>
    <t>Chemistry</t>
  </si>
  <si>
    <t>Mathematics</t>
  </si>
  <si>
    <t>Aarav Patil</t>
  </si>
  <si>
    <t>Vihaan Deshmukh</t>
  </si>
  <si>
    <t>Ayaan Jadhav</t>
  </si>
  <si>
    <t>Arjun More</t>
  </si>
  <si>
    <t>Reyansh Joshi</t>
  </si>
  <si>
    <t>Vivaan Nair</t>
  </si>
  <si>
    <t>Aditya Pawar</t>
  </si>
  <si>
    <t>Rohan Suryavanshi</t>
  </si>
  <si>
    <t>Krish Bhosale</t>
  </si>
  <si>
    <t>Samarth Shinde</t>
  </si>
  <si>
    <t>Function</t>
  </si>
  <si>
    <t>Syntax</t>
  </si>
  <si>
    <t>Description</t>
  </si>
  <si>
    <t>MATCH</t>
  </si>
  <si>
    <t>MATCH(Lookup value,Lookup array)</t>
  </si>
  <si>
    <t>Return index of given value (lookup value)</t>
  </si>
  <si>
    <t>INDEX</t>
  </si>
  <si>
    <t>INDEX(array, row number)</t>
  </si>
  <si>
    <t>Return value for provided index</t>
  </si>
  <si>
    <t>return index of lookup value</t>
  </si>
  <si>
    <t>find the index of arjun more in full name</t>
  </si>
  <si>
    <t>find who is there at index 10</t>
  </si>
  <si>
    <t>Quarter</t>
  </si>
  <si>
    <t>LOOKUP</t>
  </si>
  <si>
    <t>Q1</t>
  </si>
  <si>
    <t>VLOOKUP</t>
  </si>
  <si>
    <t>VLOOKUP(lookup_value, table_array, col_index_num, [range_lookup])</t>
  </si>
  <si>
    <t>Q2</t>
  </si>
  <si>
    <t>HLOOKUP</t>
  </si>
  <si>
    <t>HLOOKUP(lookup_value, table_array, row_index_num, [range_lookup])</t>
  </si>
  <si>
    <t>Q3</t>
  </si>
  <si>
    <t>XLOOKUP</t>
  </si>
  <si>
    <t>XLOOKUP(lookup_value, lookup_array, return_array, [if_not_found], [match_mode], [search_mode])</t>
  </si>
  <si>
    <t>Q4</t>
  </si>
  <si>
    <t>Combination of INDEX+MATCH for LOOKUP</t>
  </si>
  <si>
    <t>INDEX(C1:C6,MATCH(Q3,A1:A6))</t>
  </si>
  <si>
    <t>Total</t>
  </si>
  <si>
    <t>C1:C6 ==&gt; return array</t>
  </si>
  <si>
    <t>Q3 ==&gt; lookup value</t>
  </si>
  <si>
    <t>A1:A6 ==&gt; lookup array</t>
  </si>
  <si>
    <t>Match+Index</t>
  </si>
  <si>
    <t>Branch</t>
  </si>
  <si>
    <t>Monthly Salary</t>
  </si>
  <si>
    <t>Mumbai</t>
  </si>
  <si>
    <t>Nashik</t>
  </si>
  <si>
    <t>Pune</t>
  </si>
  <si>
    <t>Sum</t>
  </si>
  <si>
    <t>Average</t>
  </si>
  <si>
    <t>Min</t>
  </si>
  <si>
    <t>Max</t>
  </si>
  <si>
    <t>sumif</t>
  </si>
  <si>
    <t>averageif</t>
  </si>
  <si>
    <t>Mandatory</t>
  </si>
  <si>
    <t>Yes</t>
  </si>
  <si>
    <t>No</t>
  </si>
  <si>
    <t>sumifs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</si>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</sst>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1" fillId="5" borderId="0" xfId="0" applyFont="1" applyFill="1"/>
    <xf numFmtId="0" fontId="0" fillId="5" borderId="0" xfId="0" applyFill="1"/>
    <xf numFmtId="0" fontId="1" fillId="5" borderId="0" xfId="0" applyFont="1" applyFill="1" applyAlignment="1">
      <alignment wrapText="1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2ED0-D171-4251-AD5E-5AF90AD2F77A}">
  <dimension ref="A1:J15"/>
  <sheetViews>
    <sheetView zoomScale="85" zoomScaleNormal="85" workbookViewId="0">
      <selection activeCell="I13" sqref="I13"/>
    </sheetView>
  </sheetViews>
  <sheetFormatPr defaultRowHeight="14.4" x14ac:dyDescent="0.3"/>
  <cols>
    <col min="1" max="1" width="16.33203125" bestFit="1" customWidth="1"/>
    <col min="2" max="2" width="7.109375" bestFit="1" customWidth="1"/>
    <col min="3" max="3" width="9.44140625" bestFit="1" customWidth="1"/>
    <col min="4" max="4" width="12" bestFit="1" customWidth="1"/>
    <col min="9" max="9" width="31.77734375" bestFit="1" customWidth="1"/>
    <col min="10" max="10" width="37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t="s">
        <v>4</v>
      </c>
      <c r="B2">
        <v>78</v>
      </c>
      <c r="C2">
        <v>90</v>
      </c>
      <c r="D2">
        <v>34</v>
      </c>
      <c r="H2" s="3" t="s">
        <v>14</v>
      </c>
      <c r="I2" s="4" t="s">
        <v>15</v>
      </c>
      <c r="J2" s="4" t="s">
        <v>16</v>
      </c>
    </row>
    <row r="3" spans="1:10" x14ac:dyDescent="0.3">
      <c r="A3" t="s">
        <v>5</v>
      </c>
      <c r="B3">
        <v>33</v>
      </c>
      <c r="C3">
        <v>44</v>
      </c>
      <c r="D3">
        <v>32</v>
      </c>
      <c r="H3" s="4" t="s">
        <v>17</v>
      </c>
      <c r="I3" s="4" t="s">
        <v>18</v>
      </c>
      <c r="J3" s="4" t="s">
        <v>19</v>
      </c>
    </row>
    <row r="4" spans="1:10" x14ac:dyDescent="0.3">
      <c r="A4" t="s">
        <v>6</v>
      </c>
      <c r="B4">
        <v>75</v>
      </c>
      <c r="C4">
        <v>88</v>
      </c>
      <c r="D4">
        <v>84</v>
      </c>
      <c r="H4" s="4" t="s">
        <v>20</v>
      </c>
      <c r="I4" s="4" t="s">
        <v>21</v>
      </c>
      <c r="J4" s="4" t="s">
        <v>22</v>
      </c>
    </row>
    <row r="5" spans="1:10" x14ac:dyDescent="0.3">
      <c r="A5" t="s">
        <v>7</v>
      </c>
      <c r="B5">
        <v>89</v>
      </c>
      <c r="C5">
        <v>91</v>
      </c>
      <c r="D5">
        <v>78</v>
      </c>
    </row>
    <row r="6" spans="1:10" x14ac:dyDescent="0.3">
      <c r="A6" t="s">
        <v>8</v>
      </c>
      <c r="B6" s="2">
        <v>80</v>
      </c>
      <c r="C6">
        <v>22</v>
      </c>
      <c r="D6">
        <v>85</v>
      </c>
    </row>
    <row r="7" spans="1:10" x14ac:dyDescent="0.3">
      <c r="A7" t="s">
        <v>9</v>
      </c>
      <c r="B7">
        <v>83</v>
      </c>
      <c r="C7">
        <v>79</v>
      </c>
      <c r="D7">
        <v>90</v>
      </c>
    </row>
    <row r="8" spans="1:10" x14ac:dyDescent="0.3">
      <c r="A8" t="s">
        <v>10</v>
      </c>
      <c r="B8">
        <v>88</v>
      </c>
      <c r="C8">
        <v>76</v>
      </c>
      <c r="D8">
        <v>91</v>
      </c>
      <c r="H8" s="1" t="s">
        <v>14</v>
      </c>
    </row>
    <row r="9" spans="1:10" x14ac:dyDescent="0.3">
      <c r="A9" t="s">
        <v>11</v>
      </c>
      <c r="B9">
        <v>82</v>
      </c>
      <c r="C9">
        <v>90</v>
      </c>
      <c r="D9">
        <v>86</v>
      </c>
      <c r="I9" s="1" t="s">
        <v>24</v>
      </c>
    </row>
    <row r="10" spans="1:10" x14ac:dyDescent="0.3">
      <c r="A10" t="s">
        <v>12</v>
      </c>
      <c r="B10">
        <v>85</v>
      </c>
      <c r="C10">
        <v>83</v>
      </c>
      <c r="D10">
        <v>89</v>
      </c>
      <c r="H10" t="s">
        <v>17</v>
      </c>
      <c r="I10">
        <f>MATCH(A5,A1:A15,0)</f>
        <v>5</v>
      </c>
      <c r="J10" t="s">
        <v>23</v>
      </c>
    </row>
    <row r="11" spans="1:10" x14ac:dyDescent="0.3">
      <c r="A11" t="s">
        <v>13</v>
      </c>
      <c r="B11">
        <v>79</v>
      </c>
      <c r="C11">
        <v>87</v>
      </c>
      <c r="D11">
        <v>88</v>
      </c>
      <c r="I11" s="1" t="s">
        <v>25</v>
      </c>
    </row>
    <row r="12" spans="1:10" x14ac:dyDescent="0.3">
      <c r="A12" t="s">
        <v>4</v>
      </c>
      <c r="B12">
        <v>78</v>
      </c>
      <c r="C12">
        <v>90</v>
      </c>
      <c r="D12">
        <v>92</v>
      </c>
      <c r="I12" s="1"/>
    </row>
    <row r="13" spans="1:10" x14ac:dyDescent="0.3">
      <c r="A13" t="s">
        <v>5</v>
      </c>
      <c r="B13">
        <v>81</v>
      </c>
      <c r="C13">
        <v>85</v>
      </c>
      <c r="D13">
        <v>89</v>
      </c>
      <c r="H13" t="s">
        <v>20</v>
      </c>
      <c r="I13" t="str">
        <f>INDEX(A1:A15,10,)</f>
        <v>Krish Bhosale</v>
      </c>
    </row>
    <row r="14" spans="1:10" x14ac:dyDescent="0.3">
      <c r="A14" t="s">
        <v>6</v>
      </c>
      <c r="B14">
        <v>75</v>
      </c>
      <c r="C14">
        <v>88</v>
      </c>
      <c r="D14">
        <v>84</v>
      </c>
    </row>
    <row r="15" spans="1:10" x14ac:dyDescent="0.3">
      <c r="A15" t="s">
        <v>7</v>
      </c>
      <c r="B15">
        <v>89</v>
      </c>
      <c r="C15">
        <v>91</v>
      </c>
      <c r="D15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33B6-1237-4424-A809-27E88ED50D1A}">
  <dimension ref="A1:L16"/>
  <sheetViews>
    <sheetView workbookViewId="0">
      <selection activeCell="B13" sqref="B13:B16"/>
    </sheetView>
  </sheetViews>
  <sheetFormatPr defaultRowHeight="14.4" x14ac:dyDescent="0.3"/>
  <cols>
    <col min="1" max="1" width="7.44140625" bestFit="1" customWidth="1"/>
    <col min="2" max="5" width="6" bestFit="1" customWidth="1"/>
    <col min="7" max="7" width="38.33203125" bestFit="1" customWidth="1"/>
    <col min="8" max="8" width="30.6640625" bestFit="1" customWidth="1"/>
    <col min="9" max="9" width="35.44140625" bestFit="1" customWidth="1"/>
    <col min="11" max="11" width="9.109375" bestFit="1" customWidth="1"/>
    <col min="12" max="12" width="84.77734375" bestFit="1" customWidth="1"/>
  </cols>
  <sheetData>
    <row r="1" spans="1:12" x14ac:dyDescent="0.3">
      <c r="A1" s="1" t="s">
        <v>26</v>
      </c>
      <c r="B1" s="1">
        <v>2010</v>
      </c>
      <c r="C1" s="1">
        <v>2011</v>
      </c>
      <c r="D1" s="1">
        <v>2012</v>
      </c>
      <c r="E1" s="1">
        <v>2013</v>
      </c>
      <c r="G1" s="7" t="s">
        <v>14</v>
      </c>
      <c r="H1" s="7" t="s">
        <v>15</v>
      </c>
      <c r="I1" s="7" t="s">
        <v>16</v>
      </c>
      <c r="J1" s="1"/>
      <c r="K1" t="s">
        <v>27</v>
      </c>
      <c r="L1" t="s">
        <v>15</v>
      </c>
    </row>
    <row r="2" spans="1:12" x14ac:dyDescent="0.3">
      <c r="A2" s="1" t="s">
        <v>28</v>
      </c>
      <c r="B2">
        <v>10919</v>
      </c>
      <c r="C2">
        <v>12252</v>
      </c>
      <c r="D2">
        <v>18829</v>
      </c>
      <c r="E2">
        <v>18263</v>
      </c>
      <c r="G2" s="6" t="s">
        <v>17</v>
      </c>
      <c r="H2" s="6" t="s">
        <v>18</v>
      </c>
      <c r="I2" s="6" t="s">
        <v>19</v>
      </c>
      <c r="K2" t="s">
        <v>29</v>
      </c>
      <c r="L2" t="s">
        <v>30</v>
      </c>
    </row>
    <row r="3" spans="1:12" x14ac:dyDescent="0.3">
      <c r="A3" s="1" t="s">
        <v>31</v>
      </c>
      <c r="B3">
        <v>14967</v>
      </c>
      <c r="C3">
        <v>17730</v>
      </c>
      <c r="D3">
        <v>12778</v>
      </c>
      <c r="E3" s="2">
        <v>17554</v>
      </c>
      <c r="G3" s="6" t="s">
        <v>20</v>
      </c>
      <c r="H3" s="6" t="s">
        <v>21</v>
      </c>
      <c r="I3" s="6" t="s">
        <v>22</v>
      </c>
      <c r="K3" t="s">
        <v>32</v>
      </c>
      <c r="L3" t="s">
        <v>33</v>
      </c>
    </row>
    <row r="4" spans="1:12" x14ac:dyDescent="0.3">
      <c r="A4" s="1" t="s">
        <v>34</v>
      </c>
      <c r="B4">
        <v>19587</v>
      </c>
      <c r="C4" s="8">
        <v>13208</v>
      </c>
      <c r="D4">
        <v>14514</v>
      </c>
      <c r="E4">
        <v>14564</v>
      </c>
      <c r="G4" s="6"/>
      <c r="H4" s="6"/>
      <c r="I4" s="6"/>
      <c r="K4" t="s">
        <v>35</v>
      </c>
      <c r="L4" t="s">
        <v>36</v>
      </c>
    </row>
    <row r="5" spans="1:12" x14ac:dyDescent="0.3">
      <c r="A5" s="1" t="s">
        <v>37</v>
      </c>
      <c r="B5">
        <v>11095</v>
      </c>
      <c r="C5">
        <v>15716</v>
      </c>
      <c r="D5">
        <v>10281</v>
      </c>
      <c r="E5">
        <v>12740</v>
      </c>
      <c r="G5" s="7" t="s">
        <v>38</v>
      </c>
      <c r="H5" s="7" t="s">
        <v>39</v>
      </c>
      <c r="I5" s="6"/>
    </row>
    <row r="6" spans="1:12" x14ac:dyDescent="0.3">
      <c r="A6" s="1" t="s">
        <v>40</v>
      </c>
      <c r="B6" s="1">
        <v>56568</v>
      </c>
      <c r="C6" s="1">
        <v>58906</v>
      </c>
      <c r="D6" s="1">
        <v>56402</v>
      </c>
      <c r="E6" s="1">
        <v>63121</v>
      </c>
      <c r="G6" s="7"/>
      <c r="H6" s="7" t="s">
        <v>41</v>
      </c>
      <c r="I6" s="6"/>
    </row>
    <row r="7" spans="1:12" x14ac:dyDescent="0.3">
      <c r="A7" s="1"/>
      <c r="B7" s="1"/>
      <c r="C7" s="1"/>
      <c r="D7" s="1"/>
      <c r="E7" s="1"/>
      <c r="G7" s="7"/>
      <c r="H7" s="7" t="s">
        <v>42</v>
      </c>
      <c r="I7" s="6"/>
    </row>
    <row r="8" spans="1:12" x14ac:dyDescent="0.3">
      <c r="G8" s="7"/>
      <c r="H8" s="7" t="s">
        <v>43</v>
      </c>
      <c r="I8" s="6"/>
    </row>
    <row r="11" spans="1:12" x14ac:dyDescent="0.3">
      <c r="A11" s="1" t="s">
        <v>44</v>
      </c>
    </row>
    <row r="12" spans="1:12" x14ac:dyDescent="0.3">
      <c r="B12">
        <v>2011</v>
      </c>
    </row>
    <row r="13" spans="1:12" x14ac:dyDescent="0.3">
      <c r="A13" t="s">
        <v>28</v>
      </c>
      <c r="B13">
        <f>INDEX(C1:C5,MATCH(A13,A1:A6,0))</f>
        <v>12252</v>
      </c>
    </row>
    <row r="14" spans="1:12" x14ac:dyDescent="0.3">
      <c r="A14" t="s">
        <v>31</v>
      </c>
      <c r="B14">
        <f t="shared" ref="B14:B16" si="0">INDEX(C2:C6,MATCH(A14,A2:A7,0))</f>
        <v>17730</v>
      </c>
    </row>
    <row r="15" spans="1:12" x14ac:dyDescent="0.3">
      <c r="A15" t="s">
        <v>34</v>
      </c>
      <c r="B15">
        <f t="shared" si="0"/>
        <v>13208</v>
      </c>
    </row>
    <row r="16" spans="1:12" x14ac:dyDescent="0.3">
      <c r="A16" t="s">
        <v>37</v>
      </c>
      <c r="B16">
        <f t="shared" si="0"/>
        <v>15716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9300-7D27-47B8-9AAC-E27B0795966D}">
  <dimension ref="A1:N11"/>
  <sheetViews>
    <sheetView tabSelected="1" zoomScale="130" zoomScaleNormal="130" workbookViewId="0">
      <selection activeCell="N3" sqref="N3"/>
    </sheetView>
  </sheetViews>
  <sheetFormatPr defaultColWidth="8.5546875" defaultRowHeight="14.4" x14ac:dyDescent="0.3"/>
  <cols>
    <col min="3" max="3" width="10.44140625" bestFit="1" customWidth="1"/>
    <col min="13" max="13" width="9.33203125" bestFit="1" customWidth="1"/>
  </cols>
  <sheetData>
    <row r="1" spans="1:14" ht="28.8" x14ac:dyDescent="0.3">
      <c r="A1" s="5" t="s">
        <v>45</v>
      </c>
      <c r="B1" s="5" t="s">
        <v>46</v>
      </c>
      <c r="C1" s="1" t="s">
        <v>56</v>
      </c>
    </row>
    <row r="2" spans="1:14" x14ac:dyDescent="0.3">
      <c r="A2" s="4" t="s">
        <v>47</v>
      </c>
      <c r="B2" s="4">
        <v>24720</v>
      </c>
      <c r="C2" t="s">
        <v>57</v>
      </c>
    </row>
    <row r="3" spans="1:14" x14ac:dyDescent="0.3">
      <c r="A3" s="4" t="s">
        <v>47</v>
      </c>
      <c r="B3" s="4">
        <v>23300</v>
      </c>
      <c r="C3" t="s">
        <v>58</v>
      </c>
      <c r="E3" s="6" t="s">
        <v>50</v>
      </c>
      <c r="F3">
        <f>SUM(B2:C11)</f>
        <v>261400</v>
      </c>
      <c r="I3" s="9" t="s">
        <v>54</v>
      </c>
      <c r="J3" s="9" t="s">
        <v>55</v>
      </c>
      <c r="L3" s="10" t="s">
        <v>59</v>
      </c>
      <c r="M3" s="10" t="s">
        <v>60</v>
      </c>
      <c r="N3" s="10" t="s">
        <v>60</v>
      </c>
    </row>
    <row r="4" spans="1:14" x14ac:dyDescent="0.3">
      <c r="A4" s="4" t="s">
        <v>47</v>
      </c>
      <c r="B4" s="4">
        <v>19040</v>
      </c>
      <c r="C4" t="s">
        <v>57</v>
      </c>
      <c r="E4" s="6" t="s">
        <v>51</v>
      </c>
      <c r="F4">
        <f>AVERAGE(B2:B11)</f>
        <v>26140</v>
      </c>
      <c r="H4" s="4" t="s">
        <v>49</v>
      </c>
      <c r="I4">
        <f>SUMIF(A:A,H4,B:B)</f>
        <v>156260</v>
      </c>
      <c r="J4">
        <f>AVERAGEIF(A:A,H4,B:B)</f>
        <v>31252</v>
      </c>
      <c r="L4">
        <f>SUMIFS(B:B,A:A,H4,C:C,"Yes")</f>
        <v>88360</v>
      </c>
      <c r="M4">
        <f>AVERAGEIFS(B:B,A:A,H4,C:C,"Yes")</f>
        <v>29453.333333333332</v>
      </c>
      <c r="N4">
        <f>IFERROR(AVERAGEIFS(B:B,A:A,H4,C:C,"Yes"),0)</f>
        <v>29453.333333333332</v>
      </c>
    </row>
    <row r="5" spans="1:14" x14ac:dyDescent="0.3">
      <c r="A5" s="4" t="s">
        <v>47</v>
      </c>
      <c r="B5" s="4">
        <v>7680</v>
      </c>
      <c r="C5" t="s">
        <v>58</v>
      </c>
      <c r="E5" s="6" t="s">
        <v>52</v>
      </c>
      <c r="F5">
        <f>MIN(B2:B11)</f>
        <v>7680</v>
      </c>
      <c r="H5" s="4" t="s">
        <v>48</v>
      </c>
      <c r="I5">
        <f t="shared" ref="I5:I6" si="0">SUMIF(A:A,H5,B:B)</f>
        <v>30400</v>
      </c>
      <c r="J5">
        <f t="shared" ref="J5:J6" si="1">AVERAGEIF(A:A,H5,B:B)</f>
        <v>30400</v>
      </c>
      <c r="L5">
        <f t="shared" ref="L5:L6" si="2">SUMIFS(B:B,A:A,H5,C:C,"Yes")</f>
        <v>0</v>
      </c>
      <c r="M5" t="e">
        <f t="shared" ref="M5:M6" si="3">AVERAGEIFS(B:B,A:A,H5,C:C,"Yes")</f>
        <v>#DIV/0!</v>
      </c>
      <c r="N5">
        <f t="shared" ref="N5:N6" si="4">IFERROR(AVERAGEIFS(B:B,A:A,H5,C:C,"Yes"),0)</f>
        <v>0</v>
      </c>
    </row>
    <row r="6" spans="1:14" x14ac:dyDescent="0.3">
      <c r="A6" s="4" t="s">
        <v>48</v>
      </c>
      <c r="B6" s="4">
        <v>30400</v>
      </c>
      <c r="C6" t="s">
        <v>58</v>
      </c>
      <c r="E6" s="6" t="s">
        <v>53</v>
      </c>
      <c r="F6">
        <f>MAX(B2:B11)</f>
        <v>51700</v>
      </c>
      <c r="H6" s="4" t="s">
        <v>47</v>
      </c>
      <c r="I6">
        <f t="shared" si="0"/>
        <v>74740</v>
      </c>
      <c r="J6">
        <f t="shared" si="1"/>
        <v>18685</v>
      </c>
      <c r="L6">
        <f t="shared" si="2"/>
        <v>43760</v>
      </c>
      <c r="M6">
        <f t="shared" si="3"/>
        <v>21880</v>
      </c>
      <c r="N6">
        <f t="shared" si="4"/>
        <v>21880</v>
      </c>
    </row>
    <row r="7" spans="1:14" x14ac:dyDescent="0.3">
      <c r="A7" s="4" t="s">
        <v>49</v>
      </c>
      <c r="B7" s="4">
        <v>51700</v>
      </c>
      <c r="C7" t="s">
        <v>58</v>
      </c>
    </row>
    <row r="8" spans="1:14" x14ac:dyDescent="0.3">
      <c r="A8" s="4" t="s">
        <v>49</v>
      </c>
      <c r="B8" s="4">
        <v>37500</v>
      </c>
      <c r="C8" t="s">
        <v>57</v>
      </c>
    </row>
    <row r="9" spans="1:14" x14ac:dyDescent="0.3">
      <c r="A9" s="4" t="s">
        <v>49</v>
      </c>
      <c r="B9" s="4">
        <v>27560</v>
      </c>
      <c r="C9" t="s">
        <v>57</v>
      </c>
    </row>
    <row r="10" spans="1:14" x14ac:dyDescent="0.3">
      <c r="A10" s="4" t="s">
        <v>49</v>
      </c>
      <c r="B10" s="4">
        <v>23300</v>
      </c>
      <c r="C10" t="s">
        <v>57</v>
      </c>
    </row>
    <row r="11" spans="1:14" x14ac:dyDescent="0.3">
      <c r="A11" s="4" t="s">
        <v>49</v>
      </c>
      <c r="B11" s="4">
        <v>16200</v>
      </c>
      <c r="C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Match-Index</vt:lpstr>
      <vt:lpstr>sumif-averageif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2025-12-23T17:30:55Z</dcterms:created>
  <dcterms:modified xsi:type="dcterms:W3CDTF">2025-12-23T18:06:42Z</dcterms:modified>
</cp:coreProperties>
</file>