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A51AA307-0C65-434D-824D-968A05ECEFD0}" xr6:coauthVersionLast="47" xr6:coauthVersionMax="47" xr10:uidLastSave="{00000000-0000-0000-0000-000000000000}"/>
  <bookViews>
    <workbookView xWindow="-108" yWindow="-108" windowWidth="23256" windowHeight="12456" activeTab="1" xr2:uid="{39F2CC89-5A02-4B90-A1DB-00BBCC2EA5CC}"/>
  </bookViews>
  <sheets>
    <sheet name="numeric operations" sheetId="1" r:id="rId1"/>
    <sheet name="subtotal-sumproduct" sheetId="3" r:id="rId2"/>
    <sheet name="round-floor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3" l="1"/>
  <c r="C7" i="3"/>
  <c r="C6" i="3"/>
  <c r="C5" i="3"/>
  <c r="C4" i="3"/>
  <c r="E24" i="1"/>
  <c r="F24" i="1"/>
  <c r="G24" i="1"/>
  <c r="H24" i="1"/>
  <c r="D24" i="1"/>
  <c r="E23" i="1"/>
  <c r="D23" i="1"/>
  <c r="E20" i="1"/>
  <c r="D20" i="1"/>
  <c r="E19" i="1"/>
  <c r="D19" i="1"/>
  <c r="D18" i="1"/>
  <c r="D17" i="1"/>
  <c r="D16" i="1"/>
  <c r="D15" i="1"/>
  <c r="D14" i="1"/>
  <c r="D13" i="1"/>
  <c r="I12" i="2"/>
  <c r="H12" i="2"/>
  <c r="H11" i="2"/>
  <c r="I11" i="2"/>
  <c r="I5" i="2"/>
  <c r="I6" i="2"/>
  <c r="I7" i="2"/>
  <c r="I4" i="2"/>
  <c r="H5" i="2"/>
  <c r="H6" i="2"/>
  <c r="H7" i="2"/>
  <c r="H4" i="2"/>
  <c r="G5" i="2"/>
  <c r="G6" i="2"/>
  <c r="G7" i="2"/>
  <c r="G4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4" i="1"/>
  <c r="E5" i="1"/>
  <c r="E4" i="1"/>
  <c r="E3" i="1"/>
  <c r="E2" i="1"/>
</calcChain>
</file>

<file path=xl/sharedStrings.xml><?xml version="1.0" encoding="utf-8"?>
<sst xmlns="http://schemas.openxmlformats.org/spreadsheetml/2006/main" count="78" uniqueCount="62">
  <si>
    <t>Function</t>
  </si>
  <si>
    <t>Description</t>
  </si>
  <si>
    <t>MIN</t>
  </si>
  <si>
    <t>Smallest value</t>
  </si>
  <si>
    <t>SMALL</t>
  </si>
  <si>
    <t>n-th smallest value</t>
  </si>
  <si>
    <t>LARGE</t>
  </si>
  <si>
    <t>n-th largest value</t>
  </si>
  <si>
    <t>MAX</t>
  </si>
  <si>
    <t>Largest value</t>
  </si>
  <si>
    <t>INT</t>
  </si>
  <si>
    <t>Rounds down to nearest integer</t>
  </si>
  <si>
    <t>ABS</t>
  </si>
  <si>
    <t>Absolute value</t>
  </si>
  <si>
    <t>CEILING</t>
  </si>
  <si>
    <t>Rounds up to nearest multiple</t>
  </si>
  <si>
    <t>FLOOR</t>
  </si>
  <si>
    <t>Rounds down to nearest multiple</t>
  </si>
  <si>
    <t>ROUND</t>
  </si>
  <si>
    <t>Rounds to a number of digits</t>
  </si>
  <si>
    <t>ROUNDDOWN</t>
  </si>
  <si>
    <t>Rounds down</t>
  </si>
  <si>
    <t>ROUNDUP</t>
  </si>
  <si>
    <t>Rounds up</t>
  </si>
  <si>
    <t>MEDIAN</t>
  </si>
  <si>
    <t>Middle value</t>
  </si>
  <si>
    <t>MOD</t>
  </si>
  <si>
    <t>Remainder after division</t>
  </si>
  <si>
    <t>MODE</t>
  </si>
  <si>
    <t>Most frequent value</t>
  </si>
  <si>
    <t>POWER</t>
  </si>
  <si>
    <t>Raises a number to a power</t>
  </si>
  <si>
    <t>PRODUCT</t>
  </si>
  <si>
    <t>Multiplies values</t>
  </si>
  <si>
    <t>QUOTIENT</t>
  </si>
  <si>
    <t>Returns the integer portion of a division</t>
  </si>
  <si>
    <t>SQRT</t>
  </si>
  <si>
    <t>Square root</t>
  </si>
  <si>
    <t>STDEV</t>
  </si>
  <si>
    <t>standard deviation</t>
  </si>
  <si>
    <t>SUBTOTAL</t>
  </si>
  <si>
    <t>Returns a subtotal in a list</t>
  </si>
  <si>
    <t>SUMPRODUCT</t>
  </si>
  <si>
    <t>Multiplies arrays and sums the products</t>
  </si>
  <si>
    <t>VAR</t>
  </si>
  <si>
    <t>Sample variance</t>
  </si>
  <si>
    <t>Randombetween</t>
  </si>
  <si>
    <t>Generate random value</t>
  </si>
  <si>
    <t>Data</t>
  </si>
  <si>
    <t>Value</t>
  </si>
  <si>
    <t>Absolute</t>
  </si>
  <si>
    <t>int</t>
  </si>
  <si>
    <t>Round</t>
  </si>
  <si>
    <t>Values</t>
  </si>
  <si>
    <t>RoundUp</t>
  </si>
  <si>
    <t>roundDown</t>
  </si>
  <si>
    <t>Multiple</t>
  </si>
  <si>
    <t>CELLING</t>
  </si>
  <si>
    <t>data</t>
  </si>
  <si>
    <t>average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</si>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</sst>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/>
    <xf numFmtId="0" fontId="0" fillId="5" borderId="0" xfId="0" applyFill="1"/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6" borderId="0" xfId="0" applyFill="1"/>
    <xf numFmtId="0" fontId="0" fillId="0" borderId="0" xfId="0"/>
    <xf numFmtId="0" fontId="0" fillId="2" borderId="0" xfId="0" applyFill="1"/>
    <xf numFmtId="0" fontId="1" fillId="0" borderId="0" xfId="0" applyFont="1"/>
    <xf numFmtId="0" fontId="0" fillId="4" borderId="0" xfId="0" applyFill="1"/>
    <xf numFmtId="0" fontId="2" fillId="7" borderId="0" xfId="0" applyFont="1" applyFill="1" applyAlignment="1">
      <alignment vertical="center"/>
    </xf>
    <xf numFmtId="0" fontId="0" fillId="7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0933-6458-4379-AD94-F0B57D41C7B8}">
  <dimension ref="A1:M24"/>
  <sheetViews>
    <sheetView workbookViewId="0">
      <selection activeCell="B21" sqref="B21"/>
    </sheetView>
  </sheetViews>
  <sheetFormatPr defaultRowHeight="14.4"/>
  <cols>
    <col min="1" max="1" width="14.44140625" bestFit="1" customWidth="1"/>
    <col min="2" max="2" width="33.77734375" bestFit="1" customWidth="1"/>
  </cols>
  <sheetData>
    <row r="1" spans="1:13">
      <c r="A1" s="3" t="s">
        <v>0</v>
      </c>
      <c r="B1" s="3" t="s">
        <v>1</v>
      </c>
    </row>
    <row r="2" spans="1:13">
      <c r="A2" s="2" t="s">
        <v>2</v>
      </c>
      <c r="B2" s="1" t="s">
        <v>3</v>
      </c>
      <c r="E2">
        <f>MIN(C4:C13)</f>
        <v>1</v>
      </c>
    </row>
    <row r="3" spans="1:13">
      <c r="A3" s="2" t="s">
        <v>4</v>
      </c>
      <c r="B3" s="1" t="s">
        <v>5</v>
      </c>
      <c r="C3" s="13" t="s">
        <v>48</v>
      </c>
      <c r="E3">
        <f>SMALL(C4:C13,3)</f>
        <v>3</v>
      </c>
      <c r="J3" s="4" t="s">
        <v>49</v>
      </c>
      <c r="K3" s="8" t="s">
        <v>50</v>
      </c>
      <c r="L3" s="8" t="s">
        <v>51</v>
      </c>
      <c r="M3" s="8" t="s">
        <v>52</v>
      </c>
    </row>
    <row r="4" spans="1:13">
      <c r="A4" s="2" t="s">
        <v>6</v>
      </c>
      <c r="B4" s="1" t="s">
        <v>7</v>
      </c>
      <c r="C4" s="13">
        <v>1</v>
      </c>
      <c r="E4">
        <f>LARGE(C4:C13,5)</f>
        <v>6</v>
      </c>
      <c r="J4" s="17">
        <v>-1.8454253999999999</v>
      </c>
      <c r="K4">
        <f>ABS(J4)</f>
        <v>1.8454253999999999</v>
      </c>
      <c r="L4">
        <f>INT(K4)</f>
        <v>1</v>
      </c>
      <c r="M4">
        <f>ROUND(K4,2)</f>
        <v>1.85</v>
      </c>
    </row>
    <row r="5" spans="1:13">
      <c r="A5" s="2" t="s">
        <v>8</v>
      </c>
      <c r="B5" s="1" t="s">
        <v>9</v>
      </c>
      <c r="C5" s="13">
        <v>2</v>
      </c>
      <c r="E5">
        <f>MAX(C4:C14)</f>
        <v>11</v>
      </c>
      <c r="J5" s="17">
        <v>-17.834254000000001</v>
      </c>
      <c r="K5" s="5">
        <f t="shared" ref="K5:K19" si="0">ABS(J5)</f>
        <v>17.834254000000001</v>
      </c>
      <c r="L5" s="5">
        <f t="shared" ref="L5:L19" si="1">INT(K5)</f>
        <v>17</v>
      </c>
      <c r="M5" s="5">
        <f t="shared" ref="M5:M19" si="2">ROUND(K5,2)</f>
        <v>17.829999999999998</v>
      </c>
    </row>
    <row r="6" spans="1:13">
      <c r="A6" s="2" t="s">
        <v>10</v>
      </c>
      <c r="B6" s="1" t="s">
        <v>11</v>
      </c>
      <c r="C6" s="13">
        <v>3</v>
      </c>
      <c r="J6" s="17">
        <v>-6.8254254000000003</v>
      </c>
      <c r="K6" s="5">
        <f t="shared" si="0"/>
        <v>6.8254254000000003</v>
      </c>
      <c r="L6" s="5">
        <f t="shared" si="1"/>
        <v>6</v>
      </c>
      <c r="M6" s="5">
        <f t="shared" si="2"/>
        <v>6.83</v>
      </c>
    </row>
    <row r="7" spans="1:13">
      <c r="A7" s="2" t="s">
        <v>12</v>
      </c>
      <c r="B7" s="1" t="s">
        <v>13</v>
      </c>
      <c r="C7" s="13">
        <v>4</v>
      </c>
      <c r="J7" s="17">
        <v>-16.815425399999999</v>
      </c>
      <c r="K7" s="5">
        <f t="shared" si="0"/>
        <v>16.815425399999999</v>
      </c>
      <c r="L7" s="5">
        <f t="shared" si="1"/>
        <v>16</v>
      </c>
      <c r="M7" s="5">
        <f t="shared" si="2"/>
        <v>16.82</v>
      </c>
    </row>
    <row r="8" spans="1:13">
      <c r="A8" s="18" t="s">
        <v>14</v>
      </c>
      <c r="B8" s="19" t="s">
        <v>15</v>
      </c>
      <c r="C8" s="13">
        <v>5</v>
      </c>
      <c r="J8" s="17">
        <v>-15.805425400000001</v>
      </c>
      <c r="K8" s="5">
        <f t="shared" si="0"/>
        <v>15.805425400000001</v>
      </c>
      <c r="L8" s="5">
        <f t="shared" si="1"/>
        <v>15</v>
      </c>
      <c r="M8" s="5">
        <f t="shared" si="2"/>
        <v>15.81</v>
      </c>
    </row>
    <row r="9" spans="1:13">
      <c r="A9" s="18" t="s">
        <v>16</v>
      </c>
      <c r="B9" s="19" t="s">
        <v>17</v>
      </c>
      <c r="C9" s="13">
        <v>6</v>
      </c>
      <c r="J9" s="17">
        <v>2.2045745999999999</v>
      </c>
      <c r="K9" s="5">
        <f t="shared" si="0"/>
        <v>2.2045745999999999</v>
      </c>
      <c r="L9" s="5">
        <f t="shared" si="1"/>
        <v>2</v>
      </c>
      <c r="M9" s="5">
        <f t="shared" si="2"/>
        <v>2.2000000000000002</v>
      </c>
    </row>
    <row r="10" spans="1:13">
      <c r="A10" s="18" t="s">
        <v>18</v>
      </c>
      <c r="B10" s="19" t="s">
        <v>19</v>
      </c>
      <c r="C10" s="13">
        <v>7</v>
      </c>
      <c r="J10" s="17">
        <v>16.214574599999999</v>
      </c>
      <c r="K10" s="5">
        <f t="shared" si="0"/>
        <v>16.214574599999999</v>
      </c>
      <c r="L10" s="5">
        <f t="shared" si="1"/>
        <v>16</v>
      </c>
      <c r="M10" s="5">
        <f t="shared" si="2"/>
        <v>16.21</v>
      </c>
    </row>
    <row r="11" spans="1:13">
      <c r="A11" s="18" t="s">
        <v>20</v>
      </c>
      <c r="B11" s="19" t="s">
        <v>21</v>
      </c>
      <c r="C11" s="13">
        <v>8</v>
      </c>
      <c r="J11" s="17">
        <v>-18.7754254</v>
      </c>
      <c r="K11" s="5">
        <f t="shared" si="0"/>
        <v>18.7754254</v>
      </c>
      <c r="L11" s="5">
        <f t="shared" si="1"/>
        <v>18</v>
      </c>
      <c r="M11" s="5">
        <f t="shared" si="2"/>
        <v>18.78</v>
      </c>
    </row>
    <row r="12" spans="1:13">
      <c r="A12" s="18" t="s">
        <v>22</v>
      </c>
      <c r="B12" s="19" t="s">
        <v>23</v>
      </c>
      <c r="C12" s="13">
        <v>9</v>
      </c>
      <c r="J12" s="17">
        <v>-5.7654253999999998</v>
      </c>
      <c r="K12" s="5">
        <f t="shared" si="0"/>
        <v>5.7654253999999998</v>
      </c>
      <c r="L12" s="5">
        <f t="shared" si="1"/>
        <v>5</v>
      </c>
      <c r="M12" s="5">
        <f t="shared" si="2"/>
        <v>5.77</v>
      </c>
    </row>
    <row r="13" spans="1:13">
      <c r="A13" s="2" t="s">
        <v>24</v>
      </c>
      <c r="B13" s="1" t="s">
        <v>25</v>
      </c>
      <c r="C13" s="13">
        <v>10</v>
      </c>
      <c r="D13">
        <f>MEDIAN(C4:C13)</f>
        <v>5.5</v>
      </c>
      <c r="J13" s="17">
        <v>-8.7554254</v>
      </c>
      <c r="K13" s="5">
        <f t="shared" si="0"/>
        <v>8.7554254</v>
      </c>
      <c r="L13" s="5">
        <f t="shared" si="1"/>
        <v>8</v>
      </c>
      <c r="M13" s="5">
        <f t="shared" si="2"/>
        <v>8.76</v>
      </c>
    </row>
    <row r="14" spans="1:13">
      <c r="A14" s="2" t="s">
        <v>26</v>
      </c>
      <c r="B14" s="1" t="s">
        <v>27</v>
      </c>
      <c r="C14" s="13">
        <v>11</v>
      </c>
      <c r="D14">
        <f>MOD(E4,4)</f>
        <v>2</v>
      </c>
      <c r="J14" s="17">
        <v>-5.7454254000000002</v>
      </c>
      <c r="K14" s="5">
        <f t="shared" si="0"/>
        <v>5.7454254000000002</v>
      </c>
      <c r="L14" s="5">
        <f t="shared" si="1"/>
        <v>5</v>
      </c>
      <c r="M14" s="5">
        <f t="shared" si="2"/>
        <v>5.75</v>
      </c>
    </row>
    <row r="15" spans="1:13">
      <c r="A15" s="2" t="s">
        <v>28</v>
      </c>
      <c r="B15" s="1" t="s">
        <v>29</v>
      </c>
      <c r="C15" s="13">
        <v>11</v>
      </c>
      <c r="D15">
        <f>MODE(C4:C16)</f>
        <v>11</v>
      </c>
      <c r="J15" s="17">
        <v>1.2645746</v>
      </c>
      <c r="K15" s="5">
        <f t="shared" si="0"/>
        <v>1.2645746</v>
      </c>
      <c r="L15" s="5">
        <f t="shared" si="1"/>
        <v>1</v>
      </c>
      <c r="M15" s="5">
        <f t="shared" si="2"/>
        <v>1.26</v>
      </c>
    </row>
    <row r="16" spans="1:13">
      <c r="A16" s="2" t="s">
        <v>30</v>
      </c>
      <c r="B16" s="1" t="s">
        <v>31</v>
      </c>
      <c r="C16" s="13">
        <v>11</v>
      </c>
      <c r="D16">
        <f>POWER(2,4)</f>
        <v>16</v>
      </c>
      <c r="J16" s="17">
        <v>-4.7254253999999998</v>
      </c>
      <c r="K16" s="5">
        <f t="shared" si="0"/>
        <v>4.7254253999999998</v>
      </c>
      <c r="L16" s="5">
        <f t="shared" si="1"/>
        <v>4</v>
      </c>
      <c r="M16" s="5">
        <f t="shared" si="2"/>
        <v>4.7300000000000004</v>
      </c>
    </row>
    <row r="17" spans="1:13">
      <c r="A17" s="2" t="s">
        <v>32</v>
      </c>
      <c r="B17" s="1" t="s">
        <v>33</v>
      </c>
      <c r="D17">
        <f>PRODUCT(E2,E3,E4,E5)</f>
        <v>198</v>
      </c>
      <c r="J17" s="17">
        <v>-14.715425400000001</v>
      </c>
      <c r="K17" s="5">
        <f t="shared" si="0"/>
        <v>14.715425400000001</v>
      </c>
      <c r="L17" s="5">
        <f t="shared" si="1"/>
        <v>14</v>
      </c>
      <c r="M17" s="5">
        <f t="shared" si="2"/>
        <v>14.72</v>
      </c>
    </row>
    <row r="18" spans="1:13">
      <c r="A18" s="2" t="s">
        <v>34</v>
      </c>
      <c r="B18" s="1" t="s">
        <v>35</v>
      </c>
      <c r="D18">
        <f>QUOTIENT(E4,E3)</f>
        <v>2</v>
      </c>
      <c r="J18" s="17">
        <v>20.294574600000001</v>
      </c>
      <c r="K18" s="5">
        <f t="shared" si="0"/>
        <v>20.294574600000001</v>
      </c>
      <c r="L18" s="5">
        <f t="shared" si="1"/>
        <v>20</v>
      </c>
      <c r="M18" s="5">
        <f t="shared" si="2"/>
        <v>20.29</v>
      </c>
    </row>
    <row r="19" spans="1:13">
      <c r="A19" s="2" t="s">
        <v>36</v>
      </c>
      <c r="B19" s="1" t="s">
        <v>37</v>
      </c>
      <c r="D19">
        <f>SQRT(16)</f>
        <v>4</v>
      </c>
      <c r="E19">
        <f>SQRT(14)</f>
        <v>3.7416573867739413</v>
      </c>
      <c r="J19" s="17">
        <v>-8.6954253999999995</v>
      </c>
      <c r="K19" s="5">
        <f t="shared" si="0"/>
        <v>8.6954253999999995</v>
      </c>
      <c r="L19" s="5">
        <f t="shared" si="1"/>
        <v>8</v>
      </c>
      <c r="M19" s="5">
        <f t="shared" si="2"/>
        <v>8.6999999999999993</v>
      </c>
    </row>
    <row r="20" spans="1:13">
      <c r="A20" s="2" t="s">
        <v>38</v>
      </c>
      <c r="B20" s="1" t="s">
        <v>39</v>
      </c>
      <c r="D20">
        <f>STDEV(C4:C16)</f>
        <v>3.5626265159721258</v>
      </c>
      <c r="E20">
        <f>POWER(D20,2)</f>
        <v>12.692307692307688</v>
      </c>
    </row>
    <row r="21" spans="1:13">
      <c r="A21" s="18" t="s">
        <v>40</v>
      </c>
      <c r="B21" s="19" t="s">
        <v>41</v>
      </c>
    </row>
    <row r="22" spans="1:13">
      <c r="A22" s="18" t="s">
        <v>42</v>
      </c>
      <c r="B22" s="19" t="s">
        <v>43</v>
      </c>
    </row>
    <row r="23" spans="1:13">
      <c r="A23" s="2" t="s">
        <v>44</v>
      </c>
      <c r="B23" s="1" t="s">
        <v>45</v>
      </c>
      <c r="D23" s="14">
        <f>VAR(C4:C16)</f>
        <v>12.692307692307688</v>
      </c>
      <c r="E23">
        <f>SQRT(D23)</f>
        <v>3.5626265159721258</v>
      </c>
    </row>
    <row r="24" spans="1:13">
      <c r="A24" s="2" t="s">
        <v>46</v>
      </c>
      <c r="B24" s="1" t="s">
        <v>47</v>
      </c>
      <c r="D24">
        <f ca="1">RANDBETWEEN(1,10)</f>
        <v>3</v>
      </c>
      <c r="E24" s="14">
        <f t="shared" ref="E24:H24" ca="1" si="3">RANDBETWEEN(1,10)</f>
        <v>7</v>
      </c>
      <c r="F24" s="14">
        <f t="shared" ca="1" si="3"/>
        <v>9</v>
      </c>
      <c r="G24" s="14">
        <f t="shared" ca="1" si="3"/>
        <v>1</v>
      </c>
      <c r="H24" s="14">
        <f t="shared" ca="1" si="3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EE6D-B579-4346-A06B-E06972040B56}">
  <dimension ref="A2:F13"/>
  <sheetViews>
    <sheetView tabSelected="1" workbookViewId="0">
      <selection activeCell="F20" sqref="F20"/>
    </sheetView>
  </sheetViews>
  <sheetFormatPr defaultRowHeight="14.4"/>
  <cols>
    <col min="1" max="1" width="11.5546875" customWidth="1"/>
    <col min="2" max="2" width="19.21875" customWidth="1"/>
    <col min="3" max="3" width="13.88671875" customWidth="1"/>
    <col min="6" max="6" width="15.44140625" customWidth="1"/>
  </cols>
  <sheetData>
    <row r="2" spans="1:6">
      <c r="B2" s="16" t="s">
        <v>40</v>
      </c>
      <c r="F2" s="16"/>
    </row>
    <row r="3" spans="1:6">
      <c r="A3" s="17" t="s">
        <v>58</v>
      </c>
    </row>
    <row r="4" spans="1:6">
      <c r="A4" s="17">
        <v>1</v>
      </c>
      <c r="B4" t="s">
        <v>59</v>
      </c>
      <c r="C4">
        <f>SUBTOTAL(1,A4:A13)</f>
        <v>5.5</v>
      </c>
    </row>
    <row r="5" spans="1:6">
      <c r="A5" s="17">
        <v>2</v>
      </c>
      <c r="B5" t="s">
        <v>60</v>
      </c>
      <c r="C5">
        <f>SUBTOTAL(9,A4:A13)</f>
        <v>55</v>
      </c>
    </row>
    <row r="6" spans="1:6">
      <c r="A6" s="17">
        <v>3</v>
      </c>
      <c r="B6" t="s">
        <v>61</v>
      </c>
      <c r="C6">
        <f>SUBTOTAL(2,A4:A13)</f>
        <v>10</v>
      </c>
    </row>
    <row r="7" spans="1:6">
      <c r="A7" s="17">
        <v>4</v>
      </c>
      <c r="B7" t="s">
        <v>8</v>
      </c>
      <c r="C7">
        <f>SUBTOTAL(4,A4:A13)</f>
        <v>10</v>
      </c>
    </row>
    <row r="8" spans="1:6">
      <c r="A8" s="17">
        <v>5</v>
      </c>
      <c r="B8" t="s">
        <v>2</v>
      </c>
      <c r="C8">
        <f>SUBTOTAL(5,A4:A13)</f>
        <v>1</v>
      </c>
    </row>
    <row r="9" spans="1:6">
      <c r="A9" s="17">
        <v>6</v>
      </c>
    </row>
    <row r="10" spans="1:6">
      <c r="A10" s="17">
        <v>7</v>
      </c>
    </row>
    <row r="11" spans="1:6">
      <c r="A11" s="17">
        <v>8</v>
      </c>
    </row>
    <row r="12" spans="1:6">
      <c r="A12" s="17">
        <v>9</v>
      </c>
    </row>
    <row r="13" spans="1:6">
      <c r="A1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24F8-7E35-40A0-AC67-8C538ECA75BF}">
  <dimension ref="A3:I12"/>
  <sheetViews>
    <sheetView zoomScale="130" zoomScaleNormal="130" workbookViewId="0">
      <selection activeCell="D15" sqref="D15"/>
    </sheetView>
  </sheetViews>
  <sheetFormatPr defaultRowHeight="14.4"/>
  <cols>
    <col min="1" max="1" width="13.21875" bestFit="1" customWidth="1"/>
    <col min="2" max="2" width="28.21875" bestFit="1" customWidth="1"/>
    <col min="6" max="6" width="9" bestFit="1" customWidth="1"/>
    <col min="7" max="7" width="10.109375" customWidth="1"/>
    <col min="8" max="8" width="13.109375" customWidth="1"/>
    <col min="9" max="9" width="14.5546875" customWidth="1"/>
  </cols>
  <sheetData>
    <row r="3" spans="1:9">
      <c r="A3" s="7" t="s">
        <v>14</v>
      </c>
      <c r="B3" s="6" t="s">
        <v>15</v>
      </c>
      <c r="F3" s="9" t="s">
        <v>53</v>
      </c>
      <c r="G3" s="9" t="s">
        <v>52</v>
      </c>
      <c r="H3" s="9" t="s">
        <v>54</v>
      </c>
      <c r="I3" s="9" t="s">
        <v>55</v>
      </c>
    </row>
    <row r="4" spans="1:9">
      <c r="A4" s="7" t="s">
        <v>16</v>
      </c>
      <c r="B4" s="6" t="s">
        <v>17</v>
      </c>
      <c r="F4" s="11">
        <v>33.456780000000002</v>
      </c>
      <c r="G4">
        <f>ROUND(F4,4)</f>
        <v>33.456800000000001</v>
      </c>
      <c r="H4">
        <f>ROUNDUP(F4,4)</f>
        <v>33.456800000000001</v>
      </c>
      <c r="I4">
        <f>ROUNDDOWN(F4,4)</f>
        <v>33.456699999999998</v>
      </c>
    </row>
    <row r="5" spans="1:9">
      <c r="A5" s="7" t="s">
        <v>18</v>
      </c>
      <c r="B5" s="6" t="s">
        <v>19</v>
      </c>
      <c r="F5" s="11">
        <v>33.456479999999999</v>
      </c>
      <c r="G5" s="10">
        <f t="shared" ref="G5:G7" si="0">ROUND(F5,4)</f>
        <v>33.456499999999998</v>
      </c>
      <c r="H5" s="10">
        <f t="shared" ref="H5:H7" si="1">ROUNDUP(F5,4)</f>
        <v>33.456500000000005</v>
      </c>
      <c r="I5" s="10">
        <f t="shared" ref="I5:I7" si="2">ROUNDDOWN(F5,4)</f>
        <v>33.456400000000002</v>
      </c>
    </row>
    <row r="6" spans="1:9">
      <c r="A6" s="7" t="s">
        <v>20</v>
      </c>
      <c r="B6" s="6" t="s">
        <v>21</v>
      </c>
      <c r="F6" s="11">
        <v>33.456180000000003</v>
      </c>
      <c r="G6" s="10">
        <f t="shared" si="0"/>
        <v>33.456200000000003</v>
      </c>
      <c r="H6" s="10">
        <f t="shared" si="1"/>
        <v>33.456200000000003</v>
      </c>
      <c r="I6" s="10">
        <f t="shared" si="2"/>
        <v>33.456099999999999</v>
      </c>
    </row>
    <row r="7" spans="1:9">
      <c r="A7" s="7" t="s">
        <v>22</v>
      </c>
      <c r="B7" s="6" t="s">
        <v>23</v>
      </c>
      <c r="F7" s="12">
        <v>33.456000000000003</v>
      </c>
      <c r="G7" s="10">
        <f t="shared" si="0"/>
        <v>33.456000000000003</v>
      </c>
      <c r="H7" s="10">
        <f t="shared" si="1"/>
        <v>33.456000000000003</v>
      </c>
      <c r="I7" s="10">
        <f t="shared" si="2"/>
        <v>33.456000000000003</v>
      </c>
    </row>
    <row r="9" spans="1:9">
      <c r="H9" s="9" t="s">
        <v>57</v>
      </c>
      <c r="I9" s="9" t="s">
        <v>16</v>
      </c>
    </row>
    <row r="10" spans="1:9">
      <c r="E10" s="17" t="s">
        <v>56</v>
      </c>
      <c r="F10" s="17" t="s">
        <v>53</v>
      </c>
    </row>
    <row r="11" spans="1:9">
      <c r="E11" s="15">
        <v>5</v>
      </c>
      <c r="F11" s="15">
        <v>16</v>
      </c>
      <c r="H11">
        <f>CEILING(F11,E11)</f>
        <v>20</v>
      </c>
      <c r="I11" s="14">
        <f>FLOOR(F11,E11)</f>
        <v>15</v>
      </c>
    </row>
    <row r="12" spans="1:9">
      <c r="E12" s="15">
        <v>100</v>
      </c>
      <c r="F12" s="15">
        <v>345</v>
      </c>
      <c r="H12" s="14">
        <f>CEILING(F12,E12)</f>
        <v>400</v>
      </c>
      <c r="I12" s="14">
        <f>FLOOR(F12,E12)</f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numeric operations</vt:lpstr>
      <vt:lpstr>subtotal-sumproduct</vt:lpstr>
      <vt:lpstr>round-floor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2026-01-15T16:39:58Z</dcterms:created>
  <dcterms:modified xsi:type="dcterms:W3CDTF">2026-01-15T17:09:03Z</dcterms:modified>
</cp:coreProperties>
</file>