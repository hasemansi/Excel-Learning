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5B4B675A-5241-4540-883A-12AFD50B71AC}" xr6:coauthVersionLast="47" xr6:coauthVersionMax="47" xr10:uidLastSave="{00000000-0000-0000-0000-000000000000}"/>
  <bookViews>
    <workbookView xWindow="-108" yWindow="-108" windowWidth="23256" windowHeight="12456" activeTab="2" xr2:uid="{06E44B2E-A087-4DFA-A793-0F3CD2948C08}"/>
  </bookViews>
  <sheets>
    <sheet name="SUBTOTAL" sheetId="1" r:id="rId1"/>
    <sheet name="SUMPRODUCT" sheetId="2" r:id="rId2"/>
    <sheet name="Date" sheetId="3" r:id="rId3"/>
  </sheets>
  <definedNames>
    <definedName name="_xlnm._FilterDatabase" localSheetId="0" hidden="1">SUBTOTAL!$A$3:$H$103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3" l="1"/>
  <c r="G6" i="3"/>
  <c r="G5" i="3" l="1"/>
  <c r="H11" i="3" s="1"/>
  <c r="C3" i="2"/>
  <c r="G21" i="2"/>
  <c r="F1" i="1"/>
  <c r="E1" i="1"/>
  <c r="C1" i="1"/>
  <c r="B1" i="1"/>
  <c r="G10" i="3" l="1"/>
  <c r="G11" i="3"/>
  <c r="G8" i="3"/>
  <c r="G9" i="3"/>
</calcChain>
</file>

<file path=xl/sharedStrings.xml><?xml version="1.0" encoding="utf-8"?>
<sst xmlns="http://schemas.openxmlformats.org/spreadsheetml/2006/main" count="636" uniqueCount="302">
  <si>
    <t>Employee ID</t>
  </si>
  <si>
    <t>Employee Name</t>
  </si>
  <si>
    <t>Manager Name</t>
  </si>
  <si>
    <t>Department</t>
  </si>
  <si>
    <t>Qualification</t>
  </si>
  <si>
    <t>Gender</t>
  </si>
  <si>
    <t>Experience</t>
  </si>
  <si>
    <t>Salary</t>
  </si>
  <si>
    <t>E001</t>
  </si>
  <si>
    <t>Pooja Thorat</t>
  </si>
  <si>
    <t>Vishal Bhosale</t>
  </si>
  <si>
    <t>Finance</t>
  </si>
  <si>
    <t>Bachelor</t>
  </si>
  <si>
    <t>Female</t>
  </si>
  <si>
    <t>E002</t>
  </si>
  <si>
    <t>Shruti Sawant</t>
  </si>
  <si>
    <t>Neelam Sawant</t>
  </si>
  <si>
    <t>Engineering</t>
  </si>
  <si>
    <t>PhD</t>
  </si>
  <si>
    <t>Male</t>
  </si>
  <si>
    <t>E003</t>
  </si>
  <si>
    <t>Rupal Kulkarni</t>
  </si>
  <si>
    <t>Aparna Jadhav</t>
  </si>
  <si>
    <t>HR</t>
  </si>
  <si>
    <t>E004</t>
  </si>
  <si>
    <t>Shweta Pawar</t>
  </si>
  <si>
    <t>Siddhi Bhosale</t>
  </si>
  <si>
    <t>Sales</t>
  </si>
  <si>
    <t>E005</t>
  </si>
  <si>
    <t>Snehal Jadhav</t>
  </si>
  <si>
    <t>Siddhi Rathod</t>
  </si>
  <si>
    <t>E006</t>
  </si>
  <si>
    <t>Nikita Pawar</t>
  </si>
  <si>
    <t>Siddhi Kulkarni</t>
  </si>
  <si>
    <t>E007</t>
  </si>
  <si>
    <t>Nikhil Rathod</t>
  </si>
  <si>
    <t>Siddhi Pawar</t>
  </si>
  <si>
    <t>E008</t>
  </si>
  <si>
    <t>Amol Gore</t>
  </si>
  <si>
    <t>Ravi Rathod</t>
  </si>
  <si>
    <t>Operations</t>
  </si>
  <si>
    <t>E009</t>
  </si>
  <si>
    <t>Jayesh Tambe</t>
  </si>
  <si>
    <t>Sandeep Gore</t>
  </si>
  <si>
    <t>Diploma</t>
  </si>
  <si>
    <t>E010</t>
  </si>
  <si>
    <t>Ishwar Mane</t>
  </si>
  <si>
    <t>Vishal Patil</t>
  </si>
  <si>
    <t>Marketing</t>
  </si>
  <si>
    <t>E011</t>
  </si>
  <si>
    <t>Tejas Joshi</t>
  </si>
  <si>
    <t>Vishal Jadhav</t>
  </si>
  <si>
    <t>E012</t>
  </si>
  <si>
    <t>Deepak Jadhav</t>
  </si>
  <si>
    <t>Ravi Sawant</t>
  </si>
  <si>
    <t>E013</t>
  </si>
  <si>
    <t>Madhavi Kadam</t>
  </si>
  <si>
    <t>Tejas Patil</t>
  </si>
  <si>
    <t>E014</t>
  </si>
  <si>
    <t>Aparna Deshmukh</t>
  </si>
  <si>
    <t>Ravi Kulkarni</t>
  </si>
  <si>
    <t>Master</t>
  </si>
  <si>
    <t>E015</t>
  </si>
  <si>
    <t>Aadesh Nimbalkar</t>
  </si>
  <si>
    <t>E016</t>
  </si>
  <si>
    <t>Aadesh Rathod</t>
  </si>
  <si>
    <t>Ravi Shinde</t>
  </si>
  <si>
    <t>E017</t>
  </si>
  <si>
    <t>Gaurav Nimbalkar</t>
  </si>
  <si>
    <t>E018</t>
  </si>
  <si>
    <t>Bhushan Thorat</t>
  </si>
  <si>
    <t>Ravi Gore</t>
  </si>
  <si>
    <t>E019</t>
  </si>
  <si>
    <t>Ishwar Jadhav</t>
  </si>
  <si>
    <t>Sandeep Jadhav</t>
  </si>
  <si>
    <t>E020</t>
  </si>
  <si>
    <t>Sushma Sawant</t>
  </si>
  <si>
    <t>Kunal Shinde</t>
  </si>
  <si>
    <t>E021</t>
  </si>
  <si>
    <t>Nikhil Deshmukh</t>
  </si>
  <si>
    <t>E022</t>
  </si>
  <si>
    <t>Ashwini Patil</t>
  </si>
  <si>
    <t>Ravi Deshmukh</t>
  </si>
  <si>
    <t>E023</t>
  </si>
  <si>
    <t>Sachin Thorat</t>
  </si>
  <si>
    <t>Kunal Jadhav</t>
  </si>
  <si>
    <t>E024</t>
  </si>
  <si>
    <t>Nikhil Mane</t>
  </si>
  <si>
    <t>E025</t>
  </si>
  <si>
    <t>Ishwar Deshmukh</t>
  </si>
  <si>
    <t>Tejas Kulkarni</t>
  </si>
  <si>
    <t>E026</t>
  </si>
  <si>
    <t>Dinesh Gore</t>
  </si>
  <si>
    <t>Shubham Kulkarni</t>
  </si>
  <si>
    <t>E027</t>
  </si>
  <si>
    <t>Gaurav Thorat</t>
  </si>
  <si>
    <t>Aparna Shinde</t>
  </si>
  <si>
    <t>E028</t>
  </si>
  <si>
    <t>Bhushan Sawant</t>
  </si>
  <si>
    <t>Aparna Sawant</t>
  </si>
  <si>
    <t>E029</t>
  </si>
  <si>
    <t>Rajesh Patil</t>
  </si>
  <si>
    <t>E030</t>
  </si>
  <si>
    <t>Swati Sawant</t>
  </si>
  <si>
    <t>Siddhi Shinde</t>
  </si>
  <si>
    <t>E031</t>
  </si>
  <si>
    <t>Shubham Deshmukh</t>
  </si>
  <si>
    <t>Rajesh Rathod</t>
  </si>
  <si>
    <t>E032</t>
  </si>
  <si>
    <t>E033</t>
  </si>
  <si>
    <t>Shraddha Tambe</t>
  </si>
  <si>
    <t>Rajesh Sawant</t>
  </si>
  <si>
    <t>E034</t>
  </si>
  <si>
    <t>Jayesh Bhosale</t>
  </si>
  <si>
    <t>Sandeep Bhosale</t>
  </si>
  <si>
    <t>E035</t>
  </si>
  <si>
    <t>Madhavi Bhagat</t>
  </si>
  <si>
    <t>Tejas Gore</t>
  </si>
  <si>
    <t>E036</t>
  </si>
  <si>
    <t>Harshada Bhagat</t>
  </si>
  <si>
    <t>Rajesh Pawar</t>
  </si>
  <si>
    <t>E037</t>
  </si>
  <si>
    <t>Rohit Tambe</t>
  </si>
  <si>
    <t>Neelam Jadhav</t>
  </si>
  <si>
    <t>E038</t>
  </si>
  <si>
    <t>Manisha Sawant</t>
  </si>
  <si>
    <t>Ravi Pawar</t>
  </si>
  <si>
    <t>E039</t>
  </si>
  <si>
    <t>Komal Bhosale</t>
  </si>
  <si>
    <t>Aparna Gore</t>
  </si>
  <si>
    <t>E040</t>
  </si>
  <si>
    <t>Deepak Thorat</t>
  </si>
  <si>
    <t>Ravi Bhosale</t>
  </si>
  <si>
    <t>E041</t>
  </si>
  <si>
    <t>Sanjay Chavan</t>
  </si>
  <si>
    <t>Rajesh Kulkarni</t>
  </si>
  <si>
    <t>E042</t>
  </si>
  <si>
    <t>Shruti Patil</t>
  </si>
  <si>
    <t>Kunal Deshmukh</t>
  </si>
  <si>
    <t>E043</t>
  </si>
  <si>
    <t>Tejas Thorat</t>
  </si>
  <si>
    <t>Sandeep Rathod</t>
  </si>
  <si>
    <t>E044</t>
  </si>
  <si>
    <t>Harshada Rathod</t>
  </si>
  <si>
    <t>E045</t>
  </si>
  <si>
    <t>Shraddha Gore</t>
  </si>
  <si>
    <t>Tejas Deshmukh</t>
  </si>
  <si>
    <t>E046</t>
  </si>
  <si>
    <t>Rajiv Kulkarni</t>
  </si>
  <si>
    <t>Sandeep Deshmukh</t>
  </si>
  <si>
    <t>E047</t>
  </si>
  <si>
    <t>Vishal Rathod</t>
  </si>
  <si>
    <t>E048</t>
  </si>
  <si>
    <t>Sachin Deshmukh</t>
  </si>
  <si>
    <t>E049</t>
  </si>
  <si>
    <t>Yogesh Gajbhiye</t>
  </si>
  <si>
    <t>E050</t>
  </si>
  <si>
    <t>Manisha Jadhav</t>
  </si>
  <si>
    <t>Sandeep Shinde</t>
  </si>
  <si>
    <t>E051</t>
  </si>
  <si>
    <t>Dinesh Sawant</t>
  </si>
  <si>
    <t>Tejas Rathod</t>
  </si>
  <si>
    <t>E052</t>
  </si>
  <si>
    <t>Vandana Jadhav</t>
  </si>
  <si>
    <t>Kunal Sawant</t>
  </si>
  <si>
    <t>E053</t>
  </si>
  <si>
    <t>Ishwar Rathod</t>
  </si>
  <si>
    <t>E054</t>
  </si>
  <si>
    <t>Bhushan Tambe</t>
  </si>
  <si>
    <t>E055</t>
  </si>
  <si>
    <t>Shweta Nimbalkar</t>
  </si>
  <si>
    <t>Aparna Rathod</t>
  </si>
  <si>
    <t>E056</t>
  </si>
  <si>
    <t>Swati Kulkarni</t>
  </si>
  <si>
    <t>E057</t>
  </si>
  <si>
    <t>Vishal Chavan</t>
  </si>
  <si>
    <t>E058</t>
  </si>
  <si>
    <t>Rupal Thorat</t>
  </si>
  <si>
    <t>Neelam Deshmukh</t>
  </si>
  <si>
    <t>E059</t>
  </si>
  <si>
    <t>Kunal Tambe</t>
  </si>
  <si>
    <t>E060</t>
  </si>
  <si>
    <t>Bhushan Kulkarni</t>
  </si>
  <si>
    <t>Siddhi Deshmukh</t>
  </si>
  <si>
    <t>E061</t>
  </si>
  <si>
    <t>Dinesh Kadam</t>
  </si>
  <si>
    <t>E062</t>
  </si>
  <si>
    <t>Aishwarya Bhosale</t>
  </si>
  <si>
    <t>E063</t>
  </si>
  <si>
    <t>Aparna Bhosale</t>
  </si>
  <si>
    <t>E064</t>
  </si>
  <si>
    <t>Vinay Jadhav</t>
  </si>
  <si>
    <t>Sandeep Sawant</t>
  </si>
  <si>
    <t>E065</t>
  </si>
  <si>
    <t>Neelam Shinde</t>
  </si>
  <si>
    <t>E066</t>
  </si>
  <si>
    <t>Dinesh Patil</t>
  </si>
  <si>
    <t>Aparna Pawar</t>
  </si>
  <si>
    <t>E067</t>
  </si>
  <si>
    <t>Sanjay Deshmukh</t>
  </si>
  <si>
    <t>Siddhi Jadhav</t>
  </si>
  <si>
    <t>E068</t>
  </si>
  <si>
    <t>Vikas Patil</t>
  </si>
  <si>
    <t>E069</t>
  </si>
  <si>
    <t>Shweta Patil</t>
  </si>
  <si>
    <t>Neelam Rathod</t>
  </si>
  <si>
    <t>E070</t>
  </si>
  <si>
    <t>Madhavi Joshi</t>
  </si>
  <si>
    <t>E071</t>
  </si>
  <si>
    <t>Nikhil Patil</t>
  </si>
  <si>
    <t>Rajesh Jadhav</t>
  </si>
  <si>
    <t>E072</t>
  </si>
  <si>
    <t>Dinesh Bhosale</t>
  </si>
  <si>
    <t>E073</t>
  </si>
  <si>
    <t>Shruti Gore</t>
  </si>
  <si>
    <t>Siddhi Sawant</t>
  </si>
  <si>
    <t>E074</t>
  </si>
  <si>
    <t>Vaibhav Nimbalkar</t>
  </si>
  <si>
    <t>E075</t>
  </si>
  <si>
    <t>Ravindra Tambe</t>
  </si>
  <si>
    <t>E076</t>
  </si>
  <si>
    <t>Ashwini Pawar</t>
  </si>
  <si>
    <t>Siddhi Patil</t>
  </si>
  <si>
    <t>E077</t>
  </si>
  <si>
    <t>Yogesh Rathod</t>
  </si>
  <si>
    <t>Sandeep Patil</t>
  </si>
  <si>
    <t>E078</t>
  </si>
  <si>
    <t>Pooja Nimbalkar</t>
  </si>
  <si>
    <t>Shubham Patil</t>
  </si>
  <si>
    <t>E079</t>
  </si>
  <si>
    <t>Aishwarya Nimbalkar</t>
  </si>
  <si>
    <t>E080</t>
  </si>
  <si>
    <t>Ishwar Tambe</t>
  </si>
  <si>
    <t>E081</t>
  </si>
  <si>
    <t>Harshada Patil</t>
  </si>
  <si>
    <t>E082</t>
  </si>
  <si>
    <t>Yogesh Kulkarni</t>
  </si>
  <si>
    <t>E083</t>
  </si>
  <si>
    <t>Pradeep Gajbhiye</t>
  </si>
  <si>
    <t>Tejas Shinde</t>
  </si>
  <si>
    <t>E084</t>
  </si>
  <si>
    <t>Swati Tiwari</t>
  </si>
  <si>
    <t>Shubham Jadhav</t>
  </si>
  <si>
    <t>E085</t>
  </si>
  <si>
    <t>Pooja Sawant</t>
  </si>
  <si>
    <t>E086</t>
  </si>
  <si>
    <t>Sachin Joshi</t>
  </si>
  <si>
    <t>E087</t>
  </si>
  <si>
    <t>Komal Deshmukh</t>
  </si>
  <si>
    <t>E088</t>
  </si>
  <si>
    <t>Pradeep Chavan</t>
  </si>
  <si>
    <t>E089</t>
  </si>
  <si>
    <t>Amol Tambe</t>
  </si>
  <si>
    <t>E090</t>
  </si>
  <si>
    <t>Dinesh Tambe</t>
  </si>
  <si>
    <t>E091</t>
  </si>
  <si>
    <t>Sangeeta Jadhav</t>
  </si>
  <si>
    <t>E092</t>
  </si>
  <si>
    <t>Shubhangi Nimbalkar</t>
  </si>
  <si>
    <t>E093</t>
  </si>
  <si>
    <t>Namrata Gajbhiye</t>
  </si>
  <si>
    <t>E094</t>
  </si>
  <si>
    <t>Nikita Shinde</t>
  </si>
  <si>
    <t>E095</t>
  </si>
  <si>
    <t>Shruti Shinde</t>
  </si>
  <si>
    <t>Aparna Kulkarni</t>
  </si>
  <si>
    <t>E096</t>
  </si>
  <si>
    <t>Gaurav Pawar</t>
  </si>
  <si>
    <t>E097</t>
  </si>
  <si>
    <t>Tejas Mane</t>
  </si>
  <si>
    <t>E098</t>
  </si>
  <si>
    <t>E099</t>
  </si>
  <si>
    <t>Neha Jadhav</t>
  </si>
  <si>
    <t>E100</t>
  </si>
  <si>
    <t>Neha Chavan</t>
  </si>
  <si>
    <t>Shubham Rathod</t>
  </si>
  <si>
    <t>COUNT</t>
  </si>
  <si>
    <t>AVERAGE</t>
  </si>
  <si>
    <t>FUN</t>
  </si>
  <si>
    <t>SUBTOTAL</t>
  </si>
  <si>
    <t>SUMPRODUCT</t>
  </si>
  <si>
    <t>Multiplies arrays and sums the products</t>
  </si>
  <si>
    <t>Price</t>
  </si>
  <si>
    <t>Qty</t>
  </si>
  <si>
    <t>Total Price</t>
  </si>
  <si>
    <t>Date Function</t>
  </si>
  <si>
    <t>Description</t>
  </si>
  <si>
    <t>TODAY()</t>
  </si>
  <si>
    <t>Returns date (Ctrl + ;)</t>
  </si>
  <si>
    <t>NOW()</t>
  </si>
  <si>
    <t>Returns date + time</t>
  </si>
  <si>
    <t>DATE()</t>
  </si>
  <si>
    <t>Creates a date</t>
  </si>
  <si>
    <t>DAY()</t>
  </si>
  <si>
    <t>Gets the day from a date</t>
  </si>
  <si>
    <t>MONTH()</t>
  </si>
  <si>
    <t>Gets the month</t>
  </si>
  <si>
    <t>YEAR()</t>
  </si>
  <si>
    <t>Gets the year</t>
  </si>
  <si>
    <t>WEEKDAY()</t>
  </si>
  <si>
    <t>Day of week (1=Sunday)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</si>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</sst>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409]d\-mmm\-yy;@"/>
    <numFmt numFmtId="168" formatCode="[$-F800]dddd\,\ mmmm\ dd\,\ 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BFDD-26B1-4BAA-A444-597CC2CCFFB0}">
  <sheetPr filterMode="1"/>
  <dimension ref="A1:L103"/>
  <sheetViews>
    <sheetView workbookViewId="0">
      <selection activeCell="K47" sqref="K47"/>
    </sheetView>
  </sheetViews>
  <sheetFormatPr defaultColWidth="12" defaultRowHeight="14.4"/>
  <sheetData>
    <row r="1" spans="1:12">
      <c r="A1" s="3" t="s">
        <v>276</v>
      </c>
      <c r="B1">
        <f>COUNTA(A4:A103)</f>
        <v>100</v>
      </c>
      <c r="C1">
        <f>SUBTOTAL(3,A4:A103)</f>
        <v>23</v>
      </c>
      <c r="D1" s="3" t="s">
        <v>277</v>
      </c>
      <c r="E1">
        <f>AVERAGE(H4:H103)</f>
        <v>97077.53</v>
      </c>
      <c r="F1">
        <f>SUBTOTAL(1,H4:H103)</f>
        <v>90191.565217391311</v>
      </c>
    </row>
    <row r="2" spans="1:12">
      <c r="B2" t="s">
        <v>278</v>
      </c>
      <c r="C2" t="s">
        <v>279</v>
      </c>
      <c r="E2" t="s">
        <v>278</v>
      </c>
      <c r="F2" t="s">
        <v>279</v>
      </c>
    </row>
    <row r="3" spans="1:12" ht="28.8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12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>
        <v>18</v>
      </c>
      <c r="H4" s="2">
        <v>103464</v>
      </c>
    </row>
    <row r="5" spans="1:12" hidden="1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>
        <v>9</v>
      </c>
      <c r="H5" s="2">
        <v>126942</v>
      </c>
      <c r="J5" s="3"/>
      <c r="L5" s="3"/>
    </row>
    <row r="6" spans="1:12" hidden="1">
      <c r="A6" s="2" t="s">
        <v>20</v>
      </c>
      <c r="B6" s="2" t="s">
        <v>21</v>
      </c>
      <c r="C6" s="2" t="s">
        <v>22</v>
      </c>
      <c r="D6" s="2" t="s">
        <v>23</v>
      </c>
      <c r="E6" s="2" t="s">
        <v>18</v>
      </c>
      <c r="F6" s="2" t="s">
        <v>19</v>
      </c>
      <c r="G6" s="2">
        <v>14</v>
      </c>
      <c r="H6" s="2">
        <v>129882</v>
      </c>
    </row>
    <row r="7" spans="1:12" hidden="1">
      <c r="A7" s="2" t="s">
        <v>24</v>
      </c>
      <c r="B7" s="2" t="s">
        <v>25</v>
      </c>
      <c r="C7" s="2" t="s">
        <v>26</v>
      </c>
      <c r="D7" s="2" t="s">
        <v>27</v>
      </c>
      <c r="E7" s="2" t="s">
        <v>18</v>
      </c>
      <c r="F7" s="2" t="s">
        <v>19</v>
      </c>
      <c r="G7" s="2">
        <v>2</v>
      </c>
      <c r="H7" s="2">
        <v>71092</v>
      </c>
    </row>
    <row r="8" spans="1:12">
      <c r="A8" s="2" t="s">
        <v>28</v>
      </c>
      <c r="B8" s="2" t="s">
        <v>29</v>
      </c>
      <c r="C8" s="2" t="s">
        <v>30</v>
      </c>
      <c r="D8" s="2" t="s">
        <v>11</v>
      </c>
      <c r="E8" s="2" t="s">
        <v>12</v>
      </c>
      <c r="F8" s="2" t="s">
        <v>13</v>
      </c>
      <c r="G8" s="2">
        <v>8</v>
      </c>
      <c r="H8" s="2">
        <v>104760</v>
      </c>
    </row>
    <row r="9" spans="1:12">
      <c r="A9" s="2" t="s">
        <v>31</v>
      </c>
      <c r="B9" s="2" t="s">
        <v>32</v>
      </c>
      <c r="C9" s="2" t="s">
        <v>33</v>
      </c>
      <c r="D9" s="2" t="s">
        <v>23</v>
      </c>
      <c r="E9" s="2" t="s">
        <v>12</v>
      </c>
      <c r="F9" s="2" t="s">
        <v>13</v>
      </c>
      <c r="G9" s="2">
        <v>19</v>
      </c>
      <c r="H9" s="2">
        <v>74462</v>
      </c>
    </row>
    <row r="10" spans="1:12" hidden="1">
      <c r="A10" s="2" t="s">
        <v>34</v>
      </c>
      <c r="B10" s="2" t="s">
        <v>35</v>
      </c>
      <c r="C10" s="2" t="s">
        <v>36</v>
      </c>
      <c r="D10" s="2" t="s">
        <v>23</v>
      </c>
      <c r="E10" s="2" t="s">
        <v>18</v>
      </c>
      <c r="F10" s="2" t="s">
        <v>13</v>
      </c>
      <c r="G10" s="2">
        <v>10</v>
      </c>
      <c r="H10" s="2">
        <v>90573</v>
      </c>
    </row>
    <row r="11" spans="1:12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12</v>
      </c>
      <c r="F11" s="2" t="s">
        <v>13</v>
      </c>
      <c r="G11" s="2">
        <v>19</v>
      </c>
      <c r="H11" s="2">
        <v>67690</v>
      </c>
    </row>
    <row r="12" spans="1:12" hidden="1">
      <c r="A12" s="2" t="s">
        <v>41</v>
      </c>
      <c r="B12" s="2" t="s">
        <v>42</v>
      </c>
      <c r="C12" s="2" t="s">
        <v>43</v>
      </c>
      <c r="D12" s="2" t="s">
        <v>11</v>
      </c>
      <c r="E12" s="2" t="s">
        <v>44</v>
      </c>
      <c r="F12" s="2" t="s">
        <v>19</v>
      </c>
      <c r="G12" s="2">
        <v>8</v>
      </c>
      <c r="H12" s="2">
        <v>95724</v>
      </c>
    </row>
    <row r="13" spans="1:12" hidden="1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18</v>
      </c>
      <c r="F13" s="2" t="s">
        <v>13</v>
      </c>
      <c r="G13" s="2">
        <v>17</v>
      </c>
      <c r="H13" s="2">
        <v>64884</v>
      </c>
    </row>
    <row r="14" spans="1:12" hidden="1">
      <c r="A14" s="2" t="s">
        <v>49</v>
      </c>
      <c r="B14" s="2" t="s">
        <v>50</v>
      </c>
      <c r="C14" s="2" t="s">
        <v>51</v>
      </c>
      <c r="D14" s="2" t="s">
        <v>11</v>
      </c>
      <c r="E14" s="2" t="s">
        <v>18</v>
      </c>
      <c r="F14" s="2" t="s">
        <v>19</v>
      </c>
      <c r="G14" s="2">
        <v>15</v>
      </c>
      <c r="H14" s="2">
        <v>142125</v>
      </c>
    </row>
    <row r="15" spans="1:12" hidden="1">
      <c r="A15" s="2" t="s">
        <v>52</v>
      </c>
      <c r="B15" s="2" t="s">
        <v>53</v>
      </c>
      <c r="C15" s="2" t="s">
        <v>54</v>
      </c>
      <c r="D15" s="2" t="s">
        <v>40</v>
      </c>
      <c r="E15" s="2" t="s">
        <v>18</v>
      </c>
      <c r="F15" s="2" t="s">
        <v>19</v>
      </c>
      <c r="G15" s="2">
        <v>3</v>
      </c>
      <c r="H15" s="2">
        <v>132435</v>
      </c>
    </row>
    <row r="16" spans="1:12" hidden="1">
      <c r="A16" s="2" t="s">
        <v>55</v>
      </c>
      <c r="B16" s="2" t="s">
        <v>56</v>
      </c>
      <c r="C16" s="2" t="s">
        <v>57</v>
      </c>
      <c r="D16" s="2" t="s">
        <v>27</v>
      </c>
      <c r="E16" s="2" t="s">
        <v>18</v>
      </c>
      <c r="F16" s="2" t="s">
        <v>19</v>
      </c>
      <c r="G16" s="2">
        <v>10</v>
      </c>
      <c r="H16" s="2">
        <v>111948</v>
      </c>
    </row>
    <row r="17" spans="1:8" hidden="1">
      <c r="A17" s="2" t="s">
        <v>58</v>
      </c>
      <c r="B17" s="2" t="s">
        <v>59</v>
      </c>
      <c r="C17" s="2" t="s">
        <v>60</v>
      </c>
      <c r="D17" s="2" t="s">
        <v>17</v>
      </c>
      <c r="E17" s="2" t="s">
        <v>61</v>
      </c>
      <c r="F17" s="2" t="s">
        <v>13</v>
      </c>
      <c r="G17" s="2">
        <v>15</v>
      </c>
      <c r="H17" s="2">
        <v>106428</v>
      </c>
    </row>
    <row r="18" spans="1:8" hidden="1">
      <c r="A18" s="2" t="s">
        <v>62</v>
      </c>
      <c r="B18" s="2" t="s">
        <v>63</v>
      </c>
      <c r="C18" s="2" t="s">
        <v>33</v>
      </c>
      <c r="D18" s="2" t="s">
        <v>40</v>
      </c>
      <c r="E18" s="2" t="s">
        <v>18</v>
      </c>
      <c r="F18" s="2" t="s">
        <v>13</v>
      </c>
      <c r="G18" s="2">
        <v>20</v>
      </c>
      <c r="H18" s="2">
        <v>144998</v>
      </c>
    </row>
    <row r="19" spans="1:8" hidden="1">
      <c r="A19" s="2" t="s">
        <v>64</v>
      </c>
      <c r="B19" s="2" t="s">
        <v>65</v>
      </c>
      <c r="C19" s="2" t="s">
        <v>66</v>
      </c>
      <c r="D19" s="2" t="s">
        <v>23</v>
      </c>
      <c r="E19" s="2" t="s">
        <v>44</v>
      </c>
      <c r="F19" s="2" t="s">
        <v>19</v>
      </c>
      <c r="G19" s="2">
        <v>14</v>
      </c>
      <c r="H19" s="2">
        <v>108776</v>
      </c>
    </row>
    <row r="20" spans="1:8" hidden="1">
      <c r="A20" s="2" t="s">
        <v>67</v>
      </c>
      <c r="B20" s="2" t="s">
        <v>68</v>
      </c>
      <c r="C20" s="2" t="s">
        <v>57</v>
      </c>
      <c r="D20" s="2" t="s">
        <v>23</v>
      </c>
      <c r="E20" s="2" t="s">
        <v>18</v>
      </c>
      <c r="F20" s="2" t="s">
        <v>13</v>
      </c>
      <c r="G20" s="2">
        <v>6</v>
      </c>
      <c r="H20" s="2">
        <v>131725</v>
      </c>
    </row>
    <row r="21" spans="1:8" hidden="1">
      <c r="A21" s="2" t="s">
        <v>69</v>
      </c>
      <c r="B21" s="2" t="s">
        <v>70</v>
      </c>
      <c r="C21" s="2" t="s">
        <v>71</v>
      </c>
      <c r="D21" s="2" t="s">
        <v>11</v>
      </c>
      <c r="E21" s="2" t="s">
        <v>18</v>
      </c>
      <c r="F21" s="2" t="s">
        <v>19</v>
      </c>
      <c r="G21" s="2">
        <v>14</v>
      </c>
      <c r="H21" s="2">
        <v>60084</v>
      </c>
    </row>
    <row r="22" spans="1:8">
      <c r="A22" s="2" t="s">
        <v>72</v>
      </c>
      <c r="B22" s="2" t="s">
        <v>73</v>
      </c>
      <c r="C22" s="2" t="s">
        <v>74</v>
      </c>
      <c r="D22" s="2" t="s">
        <v>23</v>
      </c>
      <c r="E22" s="2" t="s">
        <v>12</v>
      </c>
      <c r="F22" s="2" t="s">
        <v>19</v>
      </c>
      <c r="G22" s="2">
        <v>7</v>
      </c>
      <c r="H22" s="2">
        <v>48815</v>
      </c>
    </row>
    <row r="23" spans="1:8" hidden="1">
      <c r="A23" s="2" t="s">
        <v>75</v>
      </c>
      <c r="B23" s="2" t="s">
        <v>76</v>
      </c>
      <c r="C23" s="2" t="s">
        <v>77</v>
      </c>
      <c r="D23" s="2" t="s">
        <v>11</v>
      </c>
      <c r="E23" s="2" t="s">
        <v>18</v>
      </c>
      <c r="F23" s="2" t="s">
        <v>19</v>
      </c>
      <c r="G23" s="2">
        <v>17</v>
      </c>
      <c r="H23" s="2">
        <v>137304</v>
      </c>
    </row>
    <row r="24" spans="1:8" hidden="1">
      <c r="A24" s="2" t="s">
        <v>78</v>
      </c>
      <c r="B24" s="2" t="s">
        <v>79</v>
      </c>
      <c r="C24" s="2" t="s">
        <v>22</v>
      </c>
      <c r="D24" s="2" t="s">
        <v>23</v>
      </c>
      <c r="E24" s="2" t="s">
        <v>44</v>
      </c>
      <c r="F24" s="2" t="s">
        <v>13</v>
      </c>
      <c r="G24" s="2">
        <v>4</v>
      </c>
      <c r="H24" s="2">
        <v>99797</v>
      </c>
    </row>
    <row r="25" spans="1:8" hidden="1">
      <c r="A25" s="2" t="s">
        <v>80</v>
      </c>
      <c r="B25" s="2" t="s">
        <v>81</v>
      </c>
      <c r="C25" s="2" t="s">
        <v>82</v>
      </c>
      <c r="D25" s="2" t="s">
        <v>48</v>
      </c>
      <c r="E25" s="2" t="s">
        <v>18</v>
      </c>
      <c r="F25" s="2" t="s">
        <v>13</v>
      </c>
      <c r="G25" s="2">
        <v>12</v>
      </c>
      <c r="H25" s="2">
        <v>91106</v>
      </c>
    </row>
    <row r="26" spans="1:8" hidden="1">
      <c r="A26" s="2" t="s">
        <v>83</v>
      </c>
      <c r="B26" s="2" t="s">
        <v>84</v>
      </c>
      <c r="C26" s="2" t="s">
        <v>85</v>
      </c>
      <c r="D26" s="2" t="s">
        <v>11</v>
      </c>
      <c r="E26" s="2" t="s">
        <v>18</v>
      </c>
      <c r="F26" s="2" t="s">
        <v>19</v>
      </c>
      <c r="G26" s="2">
        <v>17</v>
      </c>
      <c r="H26" s="2">
        <v>129379</v>
      </c>
    </row>
    <row r="27" spans="1:8" hidden="1">
      <c r="A27" s="2" t="s">
        <v>86</v>
      </c>
      <c r="B27" s="2" t="s">
        <v>87</v>
      </c>
      <c r="C27" s="2" t="s">
        <v>59</v>
      </c>
      <c r="D27" s="2" t="s">
        <v>40</v>
      </c>
      <c r="E27" s="2" t="s">
        <v>44</v>
      </c>
      <c r="F27" s="2" t="s">
        <v>19</v>
      </c>
      <c r="G27" s="2">
        <v>19</v>
      </c>
      <c r="H27" s="2">
        <v>54723</v>
      </c>
    </row>
    <row r="28" spans="1:8">
      <c r="A28" s="2" t="s">
        <v>88</v>
      </c>
      <c r="B28" s="2" t="s">
        <v>89</v>
      </c>
      <c r="C28" s="2" t="s">
        <v>90</v>
      </c>
      <c r="D28" s="2" t="s">
        <v>48</v>
      </c>
      <c r="E28" s="2" t="s">
        <v>12</v>
      </c>
      <c r="F28" s="2" t="s">
        <v>19</v>
      </c>
      <c r="G28" s="2">
        <v>19</v>
      </c>
      <c r="H28" s="2">
        <v>148721</v>
      </c>
    </row>
    <row r="29" spans="1:8" hidden="1">
      <c r="A29" s="2" t="s">
        <v>91</v>
      </c>
      <c r="B29" s="2" t="s">
        <v>92</v>
      </c>
      <c r="C29" s="2" t="s">
        <v>93</v>
      </c>
      <c r="D29" s="2" t="s">
        <v>23</v>
      </c>
      <c r="E29" s="2" t="s">
        <v>61</v>
      </c>
      <c r="F29" s="2" t="s">
        <v>19</v>
      </c>
      <c r="G29" s="2">
        <v>15</v>
      </c>
      <c r="H29" s="2">
        <v>62799</v>
      </c>
    </row>
    <row r="30" spans="1:8" hidden="1">
      <c r="A30" s="2" t="s">
        <v>94</v>
      </c>
      <c r="B30" s="2" t="s">
        <v>95</v>
      </c>
      <c r="C30" s="2" t="s">
        <v>96</v>
      </c>
      <c r="D30" s="2" t="s">
        <v>23</v>
      </c>
      <c r="E30" s="2" t="s">
        <v>18</v>
      </c>
      <c r="F30" s="2" t="s">
        <v>19</v>
      </c>
      <c r="G30" s="2">
        <v>20</v>
      </c>
      <c r="H30" s="2">
        <v>117832</v>
      </c>
    </row>
    <row r="31" spans="1:8">
      <c r="A31" s="2" t="s">
        <v>97</v>
      </c>
      <c r="B31" s="2" t="s">
        <v>98</v>
      </c>
      <c r="C31" s="2" t="s">
        <v>99</v>
      </c>
      <c r="D31" s="2" t="s">
        <v>40</v>
      </c>
      <c r="E31" s="2" t="s">
        <v>12</v>
      </c>
      <c r="F31" s="2" t="s">
        <v>13</v>
      </c>
      <c r="G31" s="2">
        <v>20</v>
      </c>
      <c r="H31" s="2">
        <v>131791</v>
      </c>
    </row>
    <row r="32" spans="1:8" hidden="1">
      <c r="A32" s="2" t="s">
        <v>100</v>
      </c>
      <c r="B32" s="2" t="s">
        <v>98</v>
      </c>
      <c r="C32" s="2" t="s">
        <v>101</v>
      </c>
      <c r="D32" s="2" t="s">
        <v>17</v>
      </c>
      <c r="E32" s="2" t="s">
        <v>18</v>
      </c>
      <c r="F32" s="2" t="s">
        <v>13</v>
      </c>
      <c r="G32" s="2">
        <v>10</v>
      </c>
      <c r="H32" s="2">
        <v>140489</v>
      </c>
    </row>
    <row r="33" spans="1:8" hidden="1">
      <c r="A33" s="2" t="s">
        <v>102</v>
      </c>
      <c r="B33" s="2" t="s">
        <v>103</v>
      </c>
      <c r="C33" s="2" t="s">
        <v>104</v>
      </c>
      <c r="D33" s="2" t="s">
        <v>27</v>
      </c>
      <c r="E33" s="2" t="s">
        <v>18</v>
      </c>
      <c r="F33" s="2" t="s">
        <v>19</v>
      </c>
      <c r="G33" s="2">
        <v>16</v>
      </c>
      <c r="H33" s="2">
        <v>106064</v>
      </c>
    </row>
    <row r="34" spans="1:8" hidden="1">
      <c r="A34" s="2" t="s">
        <v>105</v>
      </c>
      <c r="B34" s="2" t="s">
        <v>106</v>
      </c>
      <c r="C34" s="2" t="s">
        <v>107</v>
      </c>
      <c r="D34" s="2" t="s">
        <v>17</v>
      </c>
      <c r="E34" s="2" t="s">
        <v>18</v>
      </c>
      <c r="F34" s="2" t="s">
        <v>19</v>
      </c>
      <c r="G34" s="2">
        <v>12</v>
      </c>
      <c r="H34" s="2">
        <v>104444</v>
      </c>
    </row>
    <row r="35" spans="1:8" hidden="1">
      <c r="A35" s="2" t="s">
        <v>108</v>
      </c>
      <c r="B35" s="2" t="s">
        <v>25</v>
      </c>
      <c r="C35" s="2" t="s">
        <v>85</v>
      </c>
      <c r="D35" s="2" t="s">
        <v>40</v>
      </c>
      <c r="E35" s="2" t="s">
        <v>61</v>
      </c>
      <c r="F35" s="2" t="s">
        <v>19</v>
      </c>
      <c r="G35" s="2">
        <v>15</v>
      </c>
      <c r="H35" s="2">
        <v>106961</v>
      </c>
    </row>
    <row r="36" spans="1:8" hidden="1">
      <c r="A36" s="2" t="s">
        <v>109</v>
      </c>
      <c r="B36" s="2" t="s">
        <v>110</v>
      </c>
      <c r="C36" s="2" t="s">
        <v>111</v>
      </c>
      <c r="D36" s="2" t="s">
        <v>17</v>
      </c>
      <c r="E36" s="2" t="s">
        <v>61</v>
      </c>
      <c r="F36" s="2" t="s">
        <v>13</v>
      </c>
      <c r="G36" s="2">
        <v>20</v>
      </c>
      <c r="H36" s="2">
        <v>83172</v>
      </c>
    </row>
    <row r="37" spans="1:8" hidden="1">
      <c r="A37" s="2" t="s">
        <v>112</v>
      </c>
      <c r="B37" s="2" t="s">
        <v>113</v>
      </c>
      <c r="C37" s="2" t="s">
        <v>114</v>
      </c>
      <c r="D37" s="2" t="s">
        <v>40</v>
      </c>
      <c r="E37" s="2" t="s">
        <v>61</v>
      </c>
      <c r="F37" s="2" t="s">
        <v>13</v>
      </c>
      <c r="G37" s="2">
        <v>4</v>
      </c>
      <c r="H37" s="2">
        <v>78326</v>
      </c>
    </row>
    <row r="38" spans="1:8" hidden="1">
      <c r="A38" s="2" t="s">
        <v>115</v>
      </c>
      <c r="B38" s="2" t="s">
        <v>116</v>
      </c>
      <c r="C38" s="2" t="s">
        <v>117</v>
      </c>
      <c r="D38" s="2" t="s">
        <v>48</v>
      </c>
      <c r="E38" s="2" t="s">
        <v>44</v>
      </c>
      <c r="F38" s="2" t="s">
        <v>19</v>
      </c>
      <c r="G38" s="2">
        <v>19</v>
      </c>
      <c r="H38" s="2">
        <v>118586</v>
      </c>
    </row>
    <row r="39" spans="1:8" hidden="1">
      <c r="A39" s="2" t="s">
        <v>118</v>
      </c>
      <c r="B39" s="2" t="s">
        <v>119</v>
      </c>
      <c r="C39" s="2" t="s">
        <v>120</v>
      </c>
      <c r="D39" s="2" t="s">
        <v>48</v>
      </c>
      <c r="E39" s="2" t="s">
        <v>61</v>
      </c>
      <c r="F39" s="2" t="s">
        <v>19</v>
      </c>
      <c r="G39" s="2">
        <v>2</v>
      </c>
      <c r="H39" s="2">
        <v>123023</v>
      </c>
    </row>
    <row r="40" spans="1:8" hidden="1">
      <c r="A40" s="2" t="s">
        <v>121</v>
      </c>
      <c r="B40" s="2" t="s">
        <v>122</v>
      </c>
      <c r="C40" s="2" t="s">
        <v>123</v>
      </c>
      <c r="D40" s="2" t="s">
        <v>27</v>
      </c>
      <c r="E40" s="2" t="s">
        <v>44</v>
      </c>
      <c r="F40" s="2" t="s">
        <v>19</v>
      </c>
      <c r="G40" s="2">
        <v>12</v>
      </c>
      <c r="H40" s="2">
        <v>76671</v>
      </c>
    </row>
    <row r="41" spans="1:8" hidden="1">
      <c r="A41" s="2" t="s">
        <v>124</v>
      </c>
      <c r="B41" s="2" t="s">
        <v>125</v>
      </c>
      <c r="C41" s="2" t="s">
        <v>126</v>
      </c>
      <c r="D41" s="2" t="s">
        <v>27</v>
      </c>
      <c r="E41" s="2" t="s">
        <v>18</v>
      </c>
      <c r="F41" s="2" t="s">
        <v>13</v>
      </c>
      <c r="G41" s="2">
        <v>19</v>
      </c>
      <c r="H41" s="2">
        <v>72081</v>
      </c>
    </row>
    <row r="42" spans="1:8">
      <c r="A42" s="2" t="s">
        <v>127</v>
      </c>
      <c r="B42" s="2" t="s">
        <v>128</v>
      </c>
      <c r="C42" s="2" t="s">
        <v>129</v>
      </c>
      <c r="D42" s="2" t="s">
        <v>11</v>
      </c>
      <c r="E42" s="2" t="s">
        <v>12</v>
      </c>
      <c r="F42" s="2" t="s">
        <v>19</v>
      </c>
      <c r="G42" s="2">
        <v>13</v>
      </c>
      <c r="H42" s="2">
        <v>136748</v>
      </c>
    </row>
    <row r="43" spans="1:8" hidden="1">
      <c r="A43" s="2" t="s">
        <v>130</v>
      </c>
      <c r="B43" s="2" t="s">
        <v>131</v>
      </c>
      <c r="C43" s="2" t="s">
        <v>132</v>
      </c>
      <c r="D43" s="2" t="s">
        <v>11</v>
      </c>
      <c r="E43" s="2" t="s">
        <v>44</v>
      </c>
      <c r="F43" s="2" t="s">
        <v>13</v>
      </c>
      <c r="G43" s="2">
        <v>16</v>
      </c>
      <c r="H43" s="2">
        <v>91583</v>
      </c>
    </row>
    <row r="44" spans="1:8" hidden="1">
      <c r="A44" s="2" t="s">
        <v>133</v>
      </c>
      <c r="B44" s="2" t="s">
        <v>134</v>
      </c>
      <c r="C44" s="2" t="s">
        <v>135</v>
      </c>
      <c r="D44" s="2" t="s">
        <v>11</v>
      </c>
      <c r="E44" s="2" t="s">
        <v>61</v>
      </c>
      <c r="F44" s="2" t="s">
        <v>13</v>
      </c>
      <c r="G44" s="2">
        <v>7</v>
      </c>
      <c r="H44" s="2">
        <v>137305</v>
      </c>
    </row>
    <row r="45" spans="1:8">
      <c r="A45" s="2" t="s">
        <v>136</v>
      </c>
      <c r="B45" s="2" t="s">
        <v>137</v>
      </c>
      <c r="C45" s="2" t="s">
        <v>138</v>
      </c>
      <c r="D45" s="2" t="s">
        <v>27</v>
      </c>
      <c r="E45" s="2" t="s">
        <v>12</v>
      </c>
      <c r="F45" s="2" t="s">
        <v>13</v>
      </c>
      <c r="G45" s="2">
        <v>11</v>
      </c>
      <c r="H45" s="2">
        <v>78341</v>
      </c>
    </row>
    <row r="46" spans="1:8" hidden="1">
      <c r="A46" s="2" t="s">
        <v>139</v>
      </c>
      <c r="B46" s="2" t="s">
        <v>140</v>
      </c>
      <c r="C46" s="2" t="s">
        <v>141</v>
      </c>
      <c r="D46" s="2" t="s">
        <v>48</v>
      </c>
      <c r="E46" s="2" t="s">
        <v>61</v>
      </c>
      <c r="F46" s="2" t="s">
        <v>19</v>
      </c>
      <c r="G46" s="2">
        <v>8</v>
      </c>
      <c r="H46" s="2">
        <v>79324</v>
      </c>
    </row>
    <row r="47" spans="1:8">
      <c r="A47" s="2" t="s">
        <v>142</v>
      </c>
      <c r="B47" s="2" t="s">
        <v>143</v>
      </c>
      <c r="C47" s="2" t="s">
        <v>43</v>
      </c>
      <c r="D47" s="2" t="s">
        <v>27</v>
      </c>
      <c r="E47" s="2" t="s">
        <v>12</v>
      </c>
      <c r="F47" s="2" t="s">
        <v>19</v>
      </c>
      <c r="G47" s="2">
        <v>11</v>
      </c>
      <c r="H47" s="2">
        <v>47852</v>
      </c>
    </row>
    <row r="48" spans="1:8" hidden="1">
      <c r="A48" s="2" t="s">
        <v>144</v>
      </c>
      <c r="B48" s="2" t="s">
        <v>145</v>
      </c>
      <c r="C48" s="2" t="s">
        <v>146</v>
      </c>
      <c r="D48" s="2" t="s">
        <v>27</v>
      </c>
      <c r="E48" s="2" t="s">
        <v>18</v>
      </c>
      <c r="F48" s="2" t="s">
        <v>19</v>
      </c>
      <c r="G48" s="2">
        <v>9</v>
      </c>
      <c r="H48" s="2">
        <v>117549</v>
      </c>
    </row>
    <row r="49" spans="1:8" hidden="1">
      <c r="A49" s="2" t="s">
        <v>147</v>
      </c>
      <c r="B49" s="2" t="s">
        <v>148</v>
      </c>
      <c r="C49" s="2" t="s">
        <v>149</v>
      </c>
      <c r="D49" s="2" t="s">
        <v>48</v>
      </c>
      <c r="E49" s="2" t="s">
        <v>61</v>
      </c>
      <c r="F49" s="2" t="s">
        <v>13</v>
      </c>
      <c r="G49" s="2">
        <v>15</v>
      </c>
      <c r="H49" s="2">
        <v>145308</v>
      </c>
    </row>
    <row r="50" spans="1:8" hidden="1">
      <c r="A50" s="2" t="s">
        <v>150</v>
      </c>
      <c r="B50" s="2" t="s">
        <v>36</v>
      </c>
      <c r="C50" s="2" t="s">
        <v>151</v>
      </c>
      <c r="D50" s="2" t="s">
        <v>27</v>
      </c>
      <c r="E50" s="2" t="s">
        <v>44</v>
      </c>
      <c r="F50" s="2" t="s">
        <v>19</v>
      </c>
      <c r="G50" s="2">
        <v>9</v>
      </c>
      <c r="H50" s="2">
        <v>67663</v>
      </c>
    </row>
    <row r="51" spans="1:8" hidden="1">
      <c r="A51" s="2" t="s">
        <v>152</v>
      </c>
      <c r="B51" s="2" t="s">
        <v>153</v>
      </c>
      <c r="C51" s="2" t="s">
        <v>71</v>
      </c>
      <c r="D51" s="2" t="s">
        <v>27</v>
      </c>
      <c r="E51" s="2" t="s">
        <v>18</v>
      </c>
      <c r="F51" s="2" t="s">
        <v>13</v>
      </c>
      <c r="G51" s="2">
        <v>13</v>
      </c>
      <c r="H51" s="2">
        <v>109087</v>
      </c>
    </row>
    <row r="52" spans="1:8">
      <c r="A52" s="2" t="s">
        <v>154</v>
      </c>
      <c r="B52" s="2" t="s">
        <v>155</v>
      </c>
      <c r="C52" s="2" t="s">
        <v>10</v>
      </c>
      <c r="D52" s="2" t="s">
        <v>48</v>
      </c>
      <c r="E52" s="2" t="s">
        <v>12</v>
      </c>
      <c r="F52" s="2" t="s">
        <v>19</v>
      </c>
      <c r="G52" s="2">
        <v>17</v>
      </c>
      <c r="H52" s="2">
        <v>73492</v>
      </c>
    </row>
    <row r="53" spans="1:8">
      <c r="A53" s="2" t="s">
        <v>156</v>
      </c>
      <c r="B53" s="2" t="s">
        <v>157</v>
      </c>
      <c r="C53" s="2" t="s">
        <v>158</v>
      </c>
      <c r="D53" s="2" t="s">
        <v>48</v>
      </c>
      <c r="E53" s="2" t="s">
        <v>12</v>
      </c>
      <c r="F53" s="2" t="s">
        <v>13</v>
      </c>
      <c r="G53" s="2">
        <v>11</v>
      </c>
      <c r="H53" s="2">
        <v>116781</v>
      </c>
    </row>
    <row r="54" spans="1:8" hidden="1">
      <c r="A54" s="2" t="s">
        <v>159</v>
      </c>
      <c r="B54" s="2" t="s">
        <v>160</v>
      </c>
      <c r="C54" s="2" t="s">
        <v>161</v>
      </c>
      <c r="D54" s="2" t="s">
        <v>48</v>
      </c>
      <c r="E54" s="2" t="s">
        <v>44</v>
      </c>
      <c r="F54" s="2" t="s">
        <v>19</v>
      </c>
      <c r="G54" s="2">
        <v>2</v>
      </c>
      <c r="H54" s="2">
        <v>44104</v>
      </c>
    </row>
    <row r="55" spans="1:8" hidden="1">
      <c r="A55" s="2" t="s">
        <v>162</v>
      </c>
      <c r="B55" s="2" t="s">
        <v>163</v>
      </c>
      <c r="C55" s="2" t="s">
        <v>164</v>
      </c>
      <c r="D55" s="2" t="s">
        <v>27</v>
      </c>
      <c r="E55" s="2" t="s">
        <v>18</v>
      </c>
      <c r="F55" s="2" t="s">
        <v>13</v>
      </c>
      <c r="G55" s="2">
        <v>16</v>
      </c>
      <c r="H55" s="2">
        <v>54583</v>
      </c>
    </row>
    <row r="56" spans="1:8">
      <c r="A56" s="2" t="s">
        <v>165</v>
      </c>
      <c r="B56" s="2" t="s">
        <v>166</v>
      </c>
      <c r="C56" s="2" t="s">
        <v>104</v>
      </c>
      <c r="D56" s="2" t="s">
        <v>48</v>
      </c>
      <c r="E56" s="2" t="s">
        <v>12</v>
      </c>
      <c r="F56" s="2" t="s">
        <v>19</v>
      </c>
      <c r="G56" s="2">
        <v>16</v>
      </c>
      <c r="H56" s="2">
        <v>49609</v>
      </c>
    </row>
    <row r="57" spans="1:8" hidden="1">
      <c r="A57" s="2" t="s">
        <v>167</v>
      </c>
      <c r="B57" s="2" t="s">
        <v>168</v>
      </c>
      <c r="C57" s="2" t="s">
        <v>26</v>
      </c>
      <c r="D57" s="2" t="s">
        <v>40</v>
      </c>
      <c r="E57" s="2" t="s">
        <v>18</v>
      </c>
      <c r="F57" s="2" t="s">
        <v>19</v>
      </c>
      <c r="G57" s="2">
        <v>20</v>
      </c>
      <c r="H57" s="2">
        <v>46520</v>
      </c>
    </row>
    <row r="58" spans="1:8" hidden="1">
      <c r="A58" s="2" t="s">
        <v>169</v>
      </c>
      <c r="B58" s="2" t="s">
        <v>170</v>
      </c>
      <c r="C58" s="2" t="s">
        <v>171</v>
      </c>
      <c r="D58" s="2" t="s">
        <v>40</v>
      </c>
      <c r="E58" s="2" t="s">
        <v>61</v>
      </c>
      <c r="F58" s="2" t="s">
        <v>13</v>
      </c>
      <c r="G58" s="2">
        <v>7</v>
      </c>
      <c r="H58" s="2">
        <v>87837</v>
      </c>
    </row>
    <row r="59" spans="1:8">
      <c r="A59" s="2" t="s">
        <v>172</v>
      </c>
      <c r="B59" s="2" t="s">
        <v>173</v>
      </c>
      <c r="C59" s="2" t="s">
        <v>107</v>
      </c>
      <c r="D59" s="2" t="s">
        <v>27</v>
      </c>
      <c r="E59" s="2" t="s">
        <v>12</v>
      </c>
      <c r="F59" s="2" t="s">
        <v>13</v>
      </c>
      <c r="G59" s="2">
        <v>17</v>
      </c>
      <c r="H59" s="2">
        <v>40012</v>
      </c>
    </row>
    <row r="60" spans="1:8" hidden="1">
      <c r="A60" s="2" t="s">
        <v>174</v>
      </c>
      <c r="B60" s="2" t="s">
        <v>175</v>
      </c>
      <c r="C60" s="2" t="s">
        <v>90</v>
      </c>
      <c r="D60" s="2" t="s">
        <v>40</v>
      </c>
      <c r="E60" s="2" t="s">
        <v>18</v>
      </c>
      <c r="F60" s="2" t="s">
        <v>13</v>
      </c>
      <c r="G60" s="2">
        <v>10</v>
      </c>
      <c r="H60" s="2">
        <v>100737</v>
      </c>
    </row>
    <row r="61" spans="1:8" hidden="1">
      <c r="A61" s="2" t="s">
        <v>176</v>
      </c>
      <c r="B61" s="2" t="s">
        <v>177</v>
      </c>
      <c r="C61" s="2" t="s">
        <v>178</v>
      </c>
      <c r="D61" s="2" t="s">
        <v>27</v>
      </c>
      <c r="E61" s="2" t="s">
        <v>44</v>
      </c>
      <c r="F61" s="2" t="s">
        <v>19</v>
      </c>
      <c r="G61" s="2">
        <v>16</v>
      </c>
      <c r="H61" s="2">
        <v>99616</v>
      </c>
    </row>
    <row r="62" spans="1:8" hidden="1">
      <c r="A62" s="2" t="s">
        <v>179</v>
      </c>
      <c r="B62" s="2" t="s">
        <v>180</v>
      </c>
      <c r="C62" s="2" t="s">
        <v>36</v>
      </c>
      <c r="D62" s="2" t="s">
        <v>48</v>
      </c>
      <c r="E62" s="2" t="s">
        <v>44</v>
      </c>
      <c r="F62" s="2" t="s">
        <v>19</v>
      </c>
      <c r="G62" s="2">
        <v>9</v>
      </c>
      <c r="H62" s="2">
        <v>74441</v>
      </c>
    </row>
    <row r="63" spans="1:8" hidden="1">
      <c r="A63" s="2" t="s">
        <v>181</v>
      </c>
      <c r="B63" s="2" t="s">
        <v>182</v>
      </c>
      <c r="C63" s="2" t="s">
        <v>183</v>
      </c>
      <c r="D63" s="2" t="s">
        <v>48</v>
      </c>
      <c r="E63" s="2" t="s">
        <v>18</v>
      </c>
      <c r="F63" s="2" t="s">
        <v>19</v>
      </c>
      <c r="G63" s="2">
        <v>4</v>
      </c>
      <c r="H63" s="2">
        <v>132909</v>
      </c>
    </row>
    <row r="64" spans="1:8" hidden="1">
      <c r="A64" s="2" t="s">
        <v>184</v>
      </c>
      <c r="B64" s="2" t="s">
        <v>185</v>
      </c>
      <c r="C64" s="2" t="s">
        <v>178</v>
      </c>
      <c r="D64" s="2" t="s">
        <v>17</v>
      </c>
      <c r="E64" s="2" t="s">
        <v>44</v>
      </c>
      <c r="F64" s="2" t="s">
        <v>19</v>
      </c>
      <c r="G64" s="2">
        <v>18</v>
      </c>
      <c r="H64" s="2">
        <v>117625</v>
      </c>
    </row>
    <row r="65" spans="1:8" hidden="1">
      <c r="A65" s="2" t="s">
        <v>186</v>
      </c>
      <c r="B65" s="2" t="s">
        <v>187</v>
      </c>
      <c r="C65" s="2" t="s">
        <v>149</v>
      </c>
      <c r="D65" s="2" t="s">
        <v>40</v>
      </c>
      <c r="E65" s="2" t="s">
        <v>61</v>
      </c>
      <c r="F65" s="2" t="s">
        <v>13</v>
      </c>
      <c r="G65" s="2">
        <v>10</v>
      </c>
      <c r="H65" s="2">
        <v>106332</v>
      </c>
    </row>
    <row r="66" spans="1:8" hidden="1">
      <c r="A66" s="2" t="s">
        <v>188</v>
      </c>
      <c r="B66" s="2" t="s">
        <v>129</v>
      </c>
      <c r="C66" s="2" t="s">
        <v>189</v>
      </c>
      <c r="D66" s="2" t="s">
        <v>11</v>
      </c>
      <c r="E66" s="2" t="s">
        <v>18</v>
      </c>
      <c r="F66" s="2" t="s">
        <v>19</v>
      </c>
      <c r="G66" s="2">
        <v>15</v>
      </c>
      <c r="H66" s="2">
        <v>131724</v>
      </c>
    </row>
    <row r="67" spans="1:8" hidden="1">
      <c r="A67" s="2" t="s">
        <v>190</v>
      </c>
      <c r="B67" s="2" t="s">
        <v>191</v>
      </c>
      <c r="C67" s="2" t="s">
        <v>192</v>
      </c>
      <c r="D67" s="2" t="s">
        <v>11</v>
      </c>
      <c r="E67" s="2" t="s">
        <v>44</v>
      </c>
      <c r="F67" s="2" t="s">
        <v>19</v>
      </c>
      <c r="G67" s="2">
        <v>14</v>
      </c>
      <c r="H67" s="2">
        <v>115738</v>
      </c>
    </row>
    <row r="68" spans="1:8" hidden="1">
      <c r="A68" s="2" t="s">
        <v>193</v>
      </c>
      <c r="B68" s="2" t="s">
        <v>143</v>
      </c>
      <c r="C68" s="2" t="s">
        <v>194</v>
      </c>
      <c r="D68" s="2" t="s">
        <v>11</v>
      </c>
      <c r="E68" s="2" t="s">
        <v>61</v>
      </c>
      <c r="F68" s="2" t="s">
        <v>19</v>
      </c>
      <c r="G68" s="2">
        <v>15</v>
      </c>
      <c r="H68" s="2">
        <v>43693</v>
      </c>
    </row>
    <row r="69" spans="1:8" hidden="1">
      <c r="A69" s="2" t="s">
        <v>195</v>
      </c>
      <c r="B69" s="2" t="s">
        <v>196</v>
      </c>
      <c r="C69" s="2" t="s">
        <v>197</v>
      </c>
      <c r="D69" s="2" t="s">
        <v>11</v>
      </c>
      <c r="E69" s="2" t="s">
        <v>18</v>
      </c>
      <c r="F69" s="2" t="s">
        <v>19</v>
      </c>
      <c r="G69" s="2">
        <v>6</v>
      </c>
      <c r="H69" s="2">
        <v>53221</v>
      </c>
    </row>
    <row r="70" spans="1:8">
      <c r="A70" s="2" t="s">
        <v>198</v>
      </c>
      <c r="B70" s="2" t="s">
        <v>199</v>
      </c>
      <c r="C70" s="2" t="s">
        <v>200</v>
      </c>
      <c r="D70" s="2" t="s">
        <v>23</v>
      </c>
      <c r="E70" s="2" t="s">
        <v>12</v>
      </c>
      <c r="F70" s="2" t="s">
        <v>19</v>
      </c>
      <c r="G70" s="2">
        <v>5</v>
      </c>
      <c r="H70" s="2">
        <v>122120</v>
      </c>
    </row>
    <row r="71" spans="1:8" hidden="1">
      <c r="A71" s="2" t="s">
        <v>201</v>
      </c>
      <c r="B71" s="2" t="s">
        <v>202</v>
      </c>
      <c r="C71" s="2" t="s">
        <v>26</v>
      </c>
      <c r="D71" s="2" t="s">
        <v>48</v>
      </c>
      <c r="E71" s="2" t="s">
        <v>18</v>
      </c>
      <c r="F71" s="2" t="s">
        <v>19</v>
      </c>
      <c r="G71" s="2">
        <v>9</v>
      </c>
      <c r="H71" s="2">
        <v>142285</v>
      </c>
    </row>
    <row r="72" spans="1:8" hidden="1">
      <c r="A72" s="2" t="s">
        <v>203</v>
      </c>
      <c r="B72" s="2" t="s">
        <v>204</v>
      </c>
      <c r="C72" s="2" t="s">
        <v>205</v>
      </c>
      <c r="D72" s="2" t="s">
        <v>23</v>
      </c>
      <c r="E72" s="2" t="s">
        <v>44</v>
      </c>
      <c r="F72" s="2" t="s">
        <v>19</v>
      </c>
      <c r="G72" s="2">
        <v>11</v>
      </c>
      <c r="H72" s="2">
        <v>125508</v>
      </c>
    </row>
    <row r="73" spans="1:8" hidden="1">
      <c r="A73" s="2" t="s">
        <v>206</v>
      </c>
      <c r="B73" s="2" t="s">
        <v>207</v>
      </c>
      <c r="C73" s="2" t="s">
        <v>189</v>
      </c>
      <c r="D73" s="2" t="s">
        <v>17</v>
      </c>
      <c r="E73" s="2" t="s">
        <v>18</v>
      </c>
      <c r="F73" s="2" t="s">
        <v>13</v>
      </c>
      <c r="G73" s="2">
        <v>13</v>
      </c>
      <c r="H73" s="2">
        <v>124920</v>
      </c>
    </row>
    <row r="74" spans="1:8" hidden="1">
      <c r="A74" s="2" t="s">
        <v>208</v>
      </c>
      <c r="B74" s="2" t="s">
        <v>209</v>
      </c>
      <c r="C74" s="2" t="s">
        <v>210</v>
      </c>
      <c r="D74" s="2" t="s">
        <v>48</v>
      </c>
      <c r="E74" s="2" t="s">
        <v>44</v>
      </c>
      <c r="F74" s="2" t="s">
        <v>13</v>
      </c>
      <c r="G74" s="2">
        <v>14</v>
      </c>
      <c r="H74" s="2">
        <v>66059</v>
      </c>
    </row>
    <row r="75" spans="1:8" hidden="1">
      <c r="A75" s="2" t="s">
        <v>211</v>
      </c>
      <c r="B75" s="2" t="s">
        <v>212</v>
      </c>
      <c r="C75" s="2" t="s">
        <v>158</v>
      </c>
      <c r="D75" s="2" t="s">
        <v>27</v>
      </c>
      <c r="E75" s="2" t="s">
        <v>61</v>
      </c>
      <c r="F75" s="2" t="s">
        <v>13</v>
      </c>
      <c r="G75" s="2">
        <v>14</v>
      </c>
      <c r="H75" s="2">
        <v>74783</v>
      </c>
    </row>
    <row r="76" spans="1:8" hidden="1">
      <c r="A76" s="2" t="s">
        <v>213</v>
      </c>
      <c r="B76" s="2" t="s">
        <v>214</v>
      </c>
      <c r="C76" s="2" t="s">
        <v>215</v>
      </c>
      <c r="D76" s="2" t="s">
        <v>40</v>
      </c>
      <c r="E76" s="2" t="s">
        <v>18</v>
      </c>
      <c r="F76" s="2" t="s">
        <v>13</v>
      </c>
      <c r="G76" s="2">
        <v>13</v>
      </c>
      <c r="H76" s="2">
        <v>75495</v>
      </c>
    </row>
    <row r="77" spans="1:8" hidden="1">
      <c r="A77" s="2" t="s">
        <v>216</v>
      </c>
      <c r="B77" s="2" t="s">
        <v>217</v>
      </c>
      <c r="C77" s="2" t="s">
        <v>104</v>
      </c>
      <c r="D77" s="2" t="s">
        <v>11</v>
      </c>
      <c r="E77" s="2" t="s">
        <v>61</v>
      </c>
      <c r="F77" s="2" t="s">
        <v>19</v>
      </c>
      <c r="G77" s="2">
        <v>16</v>
      </c>
      <c r="H77" s="2">
        <v>111782</v>
      </c>
    </row>
    <row r="78" spans="1:8" hidden="1">
      <c r="A78" s="2" t="s">
        <v>218</v>
      </c>
      <c r="B78" s="2" t="s">
        <v>219</v>
      </c>
      <c r="C78" s="2" t="s">
        <v>54</v>
      </c>
      <c r="D78" s="2" t="s">
        <v>27</v>
      </c>
      <c r="E78" s="2" t="s">
        <v>61</v>
      </c>
      <c r="F78" s="2" t="s">
        <v>19</v>
      </c>
      <c r="G78" s="2">
        <v>20</v>
      </c>
      <c r="H78" s="2">
        <v>122916</v>
      </c>
    </row>
    <row r="79" spans="1:8" hidden="1">
      <c r="A79" s="2" t="s">
        <v>220</v>
      </c>
      <c r="B79" s="2" t="s">
        <v>221</v>
      </c>
      <c r="C79" s="2" t="s">
        <v>222</v>
      </c>
      <c r="D79" s="2" t="s">
        <v>11</v>
      </c>
      <c r="E79" s="2" t="s">
        <v>61</v>
      </c>
      <c r="F79" s="2" t="s">
        <v>13</v>
      </c>
      <c r="G79" s="2">
        <v>10</v>
      </c>
      <c r="H79" s="2">
        <v>118193</v>
      </c>
    </row>
    <row r="80" spans="1:8">
      <c r="A80" s="2" t="s">
        <v>223</v>
      </c>
      <c r="B80" s="2" t="s">
        <v>224</v>
      </c>
      <c r="C80" s="2" t="s">
        <v>225</v>
      </c>
      <c r="D80" s="2" t="s">
        <v>40</v>
      </c>
      <c r="E80" s="2" t="s">
        <v>12</v>
      </c>
      <c r="F80" s="2" t="s">
        <v>13</v>
      </c>
      <c r="G80" s="2">
        <v>14</v>
      </c>
      <c r="H80" s="2">
        <v>83808</v>
      </c>
    </row>
    <row r="81" spans="1:8">
      <c r="A81" s="2" t="s">
        <v>226</v>
      </c>
      <c r="B81" s="2" t="s">
        <v>227</v>
      </c>
      <c r="C81" s="2" t="s">
        <v>228</v>
      </c>
      <c r="D81" s="2" t="s">
        <v>11</v>
      </c>
      <c r="E81" s="2" t="s">
        <v>12</v>
      </c>
      <c r="F81" s="2" t="s">
        <v>13</v>
      </c>
      <c r="G81" s="2">
        <v>14</v>
      </c>
      <c r="H81" s="2">
        <v>104460</v>
      </c>
    </row>
    <row r="82" spans="1:8" hidden="1">
      <c r="A82" s="2" t="s">
        <v>229</v>
      </c>
      <c r="B82" s="2" t="s">
        <v>230</v>
      </c>
      <c r="C82" s="2" t="s">
        <v>47</v>
      </c>
      <c r="D82" s="2" t="s">
        <v>48</v>
      </c>
      <c r="E82" s="2" t="s">
        <v>18</v>
      </c>
      <c r="F82" s="2" t="s">
        <v>13</v>
      </c>
      <c r="G82" s="2">
        <v>6</v>
      </c>
      <c r="H82" s="2">
        <v>142447</v>
      </c>
    </row>
    <row r="83" spans="1:8" hidden="1">
      <c r="A83" s="2" t="s">
        <v>231</v>
      </c>
      <c r="B83" s="2" t="s">
        <v>232</v>
      </c>
      <c r="C83" s="2" t="s">
        <v>77</v>
      </c>
      <c r="D83" s="2" t="s">
        <v>40</v>
      </c>
      <c r="E83" s="2" t="s">
        <v>18</v>
      </c>
      <c r="F83" s="2" t="s">
        <v>19</v>
      </c>
      <c r="G83" s="2">
        <v>2</v>
      </c>
      <c r="H83" s="2">
        <v>57293</v>
      </c>
    </row>
    <row r="84" spans="1:8" hidden="1">
      <c r="A84" s="2" t="s">
        <v>233</v>
      </c>
      <c r="B84" s="2" t="s">
        <v>234</v>
      </c>
      <c r="C84" s="2" t="s">
        <v>43</v>
      </c>
      <c r="D84" s="2" t="s">
        <v>11</v>
      </c>
      <c r="E84" s="2" t="s">
        <v>44</v>
      </c>
      <c r="F84" s="2" t="s">
        <v>13</v>
      </c>
      <c r="G84" s="2">
        <v>18</v>
      </c>
      <c r="H84" s="2">
        <v>40966</v>
      </c>
    </row>
    <row r="85" spans="1:8" hidden="1">
      <c r="A85" s="2" t="s">
        <v>235</v>
      </c>
      <c r="B85" s="2" t="s">
        <v>236</v>
      </c>
      <c r="C85" s="2" t="s">
        <v>30</v>
      </c>
      <c r="D85" s="2" t="s">
        <v>17</v>
      </c>
      <c r="E85" s="2" t="s">
        <v>44</v>
      </c>
      <c r="F85" s="2" t="s">
        <v>19</v>
      </c>
      <c r="G85" s="2">
        <v>18</v>
      </c>
      <c r="H85" s="2">
        <v>136828</v>
      </c>
    </row>
    <row r="86" spans="1:8" hidden="1">
      <c r="A86" s="2" t="s">
        <v>237</v>
      </c>
      <c r="B86" s="2" t="s">
        <v>238</v>
      </c>
      <c r="C86" s="2" t="s">
        <v>239</v>
      </c>
      <c r="D86" s="2" t="s">
        <v>23</v>
      </c>
      <c r="E86" s="2" t="s">
        <v>18</v>
      </c>
      <c r="F86" s="2" t="s">
        <v>19</v>
      </c>
      <c r="G86" s="2">
        <v>1</v>
      </c>
      <c r="H86" s="2">
        <v>103601</v>
      </c>
    </row>
    <row r="87" spans="1:8">
      <c r="A87" s="2" t="s">
        <v>240</v>
      </c>
      <c r="B87" s="2" t="s">
        <v>241</v>
      </c>
      <c r="C87" s="2" t="s">
        <v>242</v>
      </c>
      <c r="D87" s="2" t="s">
        <v>40</v>
      </c>
      <c r="E87" s="2" t="s">
        <v>12</v>
      </c>
      <c r="F87" s="2" t="s">
        <v>13</v>
      </c>
      <c r="G87" s="2">
        <v>4</v>
      </c>
      <c r="H87" s="2">
        <v>52957</v>
      </c>
    </row>
    <row r="88" spans="1:8" hidden="1">
      <c r="A88" s="2" t="s">
        <v>243</v>
      </c>
      <c r="B88" s="2" t="s">
        <v>244</v>
      </c>
      <c r="C88" s="2" t="s">
        <v>239</v>
      </c>
      <c r="D88" s="2" t="s">
        <v>11</v>
      </c>
      <c r="E88" s="2" t="s">
        <v>18</v>
      </c>
      <c r="F88" s="2" t="s">
        <v>19</v>
      </c>
      <c r="G88" s="2">
        <v>18</v>
      </c>
      <c r="H88" s="2">
        <v>102739</v>
      </c>
    </row>
    <row r="89" spans="1:8" hidden="1">
      <c r="A89" s="2" t="s">
        <v>245</v>
      </c>
      <c r="B89" s="2" t="s">
        <v>246</v>
      </c>
      <c r="C89" s="2" t="s">
        <v>183</v>
      </c>
      <c r="D89" s="2" t="s">
        <v>40</v>
      </c>
      <c r="E89" s="2" t="s">
        <v>18</v>
      </c>
      <c r="F89" s="2" t="s">
        <v>13</v>
      </c>
      <c r="G89" s="2">
        <v>7</v>
      </c>
      <c r="H89" s="2">
        <v>73961</v>
      </c>
    </row>
    <row r="90" spans="1:8">
      <c r="A90" s="2" t="s">
        <v>247</v>
      </c>
      <c r="B90" s="2" t="s">
        <v>248</v>
      </c>
      <c r="C90" s="2" t="s">
        <v>39</v>
      </c>
      <c r="D90" s="2" t="s">
        <v>48</v>
      </c>
      <c r="E90" s="2" t="s">
        <v>12</v>
      </c>
      <c r="F90" s="2" t="s">
        <v>13</v>
      </c>
      <c r="G90" s="2">
        <v>18</v>
      </c>
      <c r="H90" s="2">
        <v>93384</v>
      </c>
    </row>
    <row r="91" spans="1:8">
      <c r="A91" s="2" t="s">
        <v>249</v>
      </c>
      <c r="B91" s="2" t="s">
        <v>250</v>
      </c>
      <c r="C91" s="2" t="s">
        <v>151</v>
      </c>
      <c r="D91" s="2" t="s">
        <v>27</v>
      </c>
      <c r="E91" s="2" t="s">
        <v>12</v>
      </c>
      <c r="F91" s="2" t="s">
        <v>19</v>
      </c>
      <c r="G91" s="2">
        <v>12</v>
      </c>
      <c r="H91" s="2">
        <v>120575</v>
      </c>
    </row>
    <row r="92" spans="1:8">
      <c r="A92" s="2" t="s">
        <v>251</v>
      </c>
      <c r="B92" s="2" t="s">
        <v>252</v>
      </c>
      <c r="C92" s="2" t="s">
        <v>51</v>
      </c>
      <c r="D92" s="2" t="s">
        <v>40</v>
      </c>
      <c r="E92" s="2" t="s">
        <v>12</v>
      </c>
      <c r="F92" s="2" t="s">
        <v>13</v>
      </c>
      <c r="G92" s="2">
        <v>20</v>
      </c>
      <c r="H92" s="2">
        <v>93692</v>
      </c>
    </row>
    <row r="93" spans="1:8" hidden="1">
      <c r="A93" s="2" t="s">
        <v>253</v>
      </c>
      <c r="B93" s="2" t="s">
        <v>254</v>
      </c>
      <c r="C93" s="2" t="s">
        <v>111</v>
      </c>
      <c r="D93" s="2" t="s">
        <v>27</v>
      </c>
      <c r="E93" s="2" t="s">
        <v>61</v>
      </c>
      <c r="F93" s="2" t="s">
        <v>19</v>
      </c>
      <c r="G93" s="2">
        <v>16</v>
      </c>
      <c r="H93" s="2">
        <v>91522</v>
      </c>
    </row>
    <row r="94" spans="1:8">
      <c r="A94" s="2" t="s">
        <v>255</v>
      </c>
      <c r="B94" s="2" t="s">
        <v>256</v>
      </c>
      <c r="C94" s="2" t="s">
        <v>60</v>
      </c>
      <c r="D94" s="2" t="s">
        <v>48</v>
      </c>
      <c r="E94" s="2" t="s">
        <v>12</v>
      </c>
      <c r="F94" s="2" t="s">
        <v>19</v>
      </c>
      <c r="G94" s="2">
        <v>20</v>
      </c>
      <c r="H94" s="2">
        <v>87966</v>
      </c>
    </row>
    <row r="95" spans="1:8" hidden="1">
      <c r="A95" s="2" t="s">
        <v>257</v>
      </c>
      <c r="B95" s="2" t="s">
        <v>258</v>
      </c>
      <c r="C95" s="2" t="s">
        <v>158</v>
      </c>
      <c r="D95" s="2" t="s">
        <v>23</v>
      </c>
      <c r="E95" s="2" t="s">
        <v>61</v>
      </c>
      <c r="F95" s="2" t="s">
        <v>13</v>
      </c>
      <c r="G95" s="2">
        <v>20</v>
      </c>
      <c r="H95" s="2">
        <v>109396</v>
      </c>
    </row>
    <row r="96" spans="1:8" hidden="1">
      <c r="A96" s="2" t="s">
        <v>259</v>
      </c>
      <c r="B96" s="2" t="s">
        <v>260</v>
      </c>
      <c r="C96" s="2" t="s">
        <v>43</v>
      </c>
      <c r="D96" s="2" t="s">
        <v>40</v>
      </c>
      <c r="E96" s="2" t="s">
        <v>44</v>
      </c>
      <c r="F96" s="2" t="s">
        <v>19</v>
      </c>
      <c r="G96" s="2">
        <v>6</v>
      </c>
      <c r="H96" s="2">
        <v>64243</v>
      </c>
    </row>
    <row r="97" spans="1:8" hidden="1">
      <c r="A97" s="2" t="s">
        <v>261</v>
      </c>
      <c r="B97" s="2" t="s">
        <v>262</v>
      </c>
      <c r="C97" s="2" t="s">
        <v>161</v>
      </c>
      <c r="D97" s="2" t="s">
        <v>17</v>
      </c>
      <c r="E97" s="2" t="s">
        <v>61</v>
      </c>
      <c r="F97" s="2" t="s">
        <v>13</v>
      </c>
      <c r="G97" s="2">
        <v>7</v>
      </c>
      <c r="H97" s="2">
        <v>123602</v>
      </c>
    </row>
    <row r="98" spans="1:8" hidden="1">
      <c r="A98" s="2" t="s">
        <v>263</v>
      </c>
      <c r="B98" s="2" t="s">
        <v>264</v>
      </c>
      <c r="C98" s="2" t="s">
        <v>265</v>
      </c>
      <c r="D98" s="2" t="s">
        <v>17</v>
      </c>
      <c r="E98" s="2" t="s">
        <v>44</v>
      </c>
      <c r="F98" s="2" t="s">
        <v>19</v>
      </c>
      <c r="G98" s="2">
        <v>6</v>
      </c>
      <c r="H98" s="2">
        <v>123056</v>
      </c>
    </row>
    <row r="99" spans="1:8">
      <c r="A99" s="2" t="s">
        <v>266</v>
      </c>
      <c r="B99" s="2" t="s">
        <v>267</v>
      </c>
      <c r="C99" s="2" t="s">
        <v>30</v>
      </c>
      <c r="D99" s="2" t="s">
        <v>17</v>
      </c>
      <c r="E99" s="2" t="s">
        <v>12</v>
      </c>
      <c r="F99" s="2" t="s">
        <v>13</v>
      </c>
      <c r="G99" s="2">
        <v>6</v>
      </c>
      <c r="H99" s="2">
        <v>92906</v>
      </c>
    </row>
    <row r="100" spans="1:8" hidden="1">
      <c r="A100" s="2" t="s">
        <v>268</v>
      </c>
      <c r="B100" s="2" t="s">
        <v>269</v>
      </c>
      <c r="C100" s="2" t="s">
        <v>43</v>
      </c>
      <c r="D100" s="2" t="s">
        <v>27</v>
      </c>
      <c r="E100" s="2" t="s">
        <v>61</v>
      </c>
      <c r="F100" s="2" t="s">
        <v>19</v>
      </c>
      <c r="G100" s="2">
        <v>8</v>
      </c>
      <c r="H100" s="2">
        <v>64956</v>
      </c>
    </row>
    <row r="101" spans="1:8" hidden="1">
      <c r="A101" s="2" t="s">
        <v>270</v>
      </c>
      <c r="B101" s="2" t="s">
        <v>56</v>
      </c>
      <c r="C101" s="2" t="s">
        <v>141</v>
      </c>
      <c r="D101" s="2" t="s">
        <v>11</v>
      </c>
      <c r="E101" s="2" t="s">
        <v>18</v>
      </c>
      <c r="F101" s="2" t="s">
        <v>19</v>
      </c>
      <c r="G101" s="2">
        <v>11</v>
      </c>
      <c r="H101" s="2">
        <v>119764</v>
      </c>
    </row>
    <row r="102" spans="1:8" hidden="1">
      <c r="A102" s="2" t="s">
        <v>271</v>
      </c>
      <c r="B102" s="2" t="s">
        <v>272</v>
      </c>
      <c r="C102" s="2" t="s">
        <v>101</v>
      </c>
      <c r="D102" s="2" t="s">
        <v>27</v>
      </c>
      <c r="E102" s="2" t="s">
        <v>44</v>
      </c>
      <c r="F102" s="2" t="s">
        <v>19</v>
      </c>
      <c r="G102" s="2">
        <v>1</v>
      </c>
      <c r="H102" s="2">
        <v>76522</v>
      </c>
    </row>
    <row r="103" spans="1:8" hidden="1">
      <c r="A103" s="2" t="s">
        <v>273</v>
      </c>
      <c r="B103" s="2" t="s">
        <v>274</v>
      </c>
      <c r="C103" s="2" t="s">
        <v>275</v>
      </c>
      <c r="D103" s="2" t="s">
        <v>17</v>
      </c>
      <c r="E103" s="2" t="s">
        <v>18</v>
      </c>
      <c r="F103" s="2" t="s">
        <v>13</v>
      </c>
      <c r="G103" s="2">
        <v>12</v>
      </c>
      <c r="H103" s="2">
        <v>63238</v>
      </c>
    </row>
  </sheetData>
  <autoFilter ref="A3:H103" xr:uid="{3DD9BFDD-26B1-4BAA-A444-597CC2CCFFB0}">
    <filterColumn colId="4">
      <filters>
        <filter val="Bachelo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CCC3-81A0-4235-B5F1-EC34AFB656FB}">
  <dimension ref="A3:G21"/>
  <sheetViews>
    <sheetView workbookViewId="0">
      <selection activeCell="B14" sqref="B14"/>
    </sheetView>
  </sheetViews>
  <sheetFormatPr defaultRowHeight="14.4"/>
  <cols>
    <col min="1" max="1" width="13.6640625" bestFit="1" customWidth="1"/>
    <col min="2" max="2" width="33.6640625" bestFit="1" customWidth="1"/>
    <col min="7" max="7" width="10.6640625" customWidth="1"/>
  </cols>
  <sheetData>
    <row r="3" spans="1:7">
      <c r="A3" s="6" t="s">
        <v>280</v>
      </c>
      <c r="B3" s="5" t="s">
        <v>281</v>
      </c>
      <c r="C3" s="1">
        <f>SUMPRODUCT(E4:E20,F4:F20)</f>
        <v>2442</v>
      </c>
      <c r="E3" s="8" t="s">
        <v>282</v>
      </c>
      <c r="F3" s="8" t="s">
        <v>283</v>
      </c>
      <c r="G3" s="7" t="s">
        <v>284</v>
      </c>
    </row>
    <row r="4" spans="1:7">
      <c r="E4" s="7">
        <v>12</v>
      </c>
      <c r="F4" s="7">
        <v>1</v>
      </c>
      <c r="G4" s="7">
        <v>12</v>
      </c>
    </row>
    <row r="5" spans="1:7">
      <c r="E5" s="7">
        <v>13</v>
      </c>
      <c r="F5" s="7">
        <v>2</v>
      </c>
      <c r="G5" s="7">
        <v>26</v>
      </c>
    </row>
    <row r="6" spans="1:7">
      <c r="E6" s="7">
        <v>14</v>
      </c>
      <c r="F6" s="7">
        <v>3</v>
      </c>
      <c r="G6" s="7">
        <v>42</v>
      </c>
    </row>
    <row r="7" spans="1:7">
      <c r="E7" s="7">
        <v>17</v>
      </c>
      <c r="F7" s="7">
        <v>4</v>
      </c>
      <c r="G7" s="7">
        <v>68</v>
      </c>
    </row>
    <row r="8" spans="1:7">
      <c r="E8" s="7">
        <v>13</v>
      </c>
      <c r="F8" s="7">
        <v>5</v>
      </c>
      <c r="G8" s="7">
        <v>65</v>
      </c>
    </row>
    <row r="9" spans="1:7">
      <c r="E9" s="7">
        <v>18</v>
      </c>
      <c r="F9" s="7">
        <v>6</v>
      </c>
      <c r="G9" s="7">
        <v>108</v>
      </c>
    </row>
    <row r="10" spans="1:7">
      <c r="E10" s="7">
        <v>15</v>
      </c>
      <c r="F10" s="7">
        <v>7</v>
      </c>
      <c r="G10" s="7">
        <v>105</v>
      </c>
    </row>
    <row r="11" spans="1:7">
      <c r="E11" s="7">
        <v>19</v>
      </c>
      <c r="F11" s="7">
        <v>8</v>
      </c>
      <c r="G11" s="7">
        <v>152</v>
      </c>
    </row>
    <row r="12" spans="1:7">
      <c r="E12" s="7">
        <v>14</v>
      </c>
      <c r="F12" s="7">
        <v>9</v>
      </c>
      <c r="G12" s="7">
        <v>126</v>
      </c>
    </row>
    <row r="13" spans="1:7">
      <c r="E13" s="7">
        <v>18</v>
      </c>
      <c r="F13" s="7">
        <v>10</v>
      </c>
      <c r="G13" s="7">
        <v>180</v>
      </c>
    </row>
    <row r="14" spans="1:7">
      <c r="E14" s="7">
        <v>11</v>
      </c>
      <c r="F14" s="7">
        <v>11</v>
      </c>
      <c r="G14" s="7">
        <v>121</v>
      </c>
    </row>
    <row r="15" spans="1:7">
      <c r="E15" s="7">
        <v>18</v>
      </c>
      <c r="F15" s="7">
        <v>12</v>
      </c>
      <c r="G15" s="7">
        <v>216</v>
      </c>
    </row>
    <row r="16" spans="1:7">
      <c r="E16" s="7">
        <v>14</v>
      </c>
      <c r="F16" s="7">
        <v>13</v>
      </c>
      <c r="G16" s="7">
        <v>182</v>
      </c>
    </row>
    <row r="17" spans="5:7">
      <c r="E17" s="7">
        <v>19</v>
      </c>
      <c r="F17" s="7">
        <v>14</v>
      </c>
      <c r="G17" s="7">
        <v>266</v>
      </c>
    </row>
    <row r="18" spans="5:7">
      <c r="E18" s="7">
        <v>14</v>
      </c>
      <c r="F18" s="7">
        <v>15</v>
      </c>
      <c r="G18" s="7">
        <v>210</v>
      </c>
    </row>
    <row r="19" spans="5:7">
      <c r="E19" s="7">
        <v>15</v>
      </c>
      <c r="F19" s="7">
        <v>16</v>
      </c>
      <c r="G19" s="7">
        <v>240</v>
      </c>
    </row>
    <row r="20" spans="5:7">
      <c r="E20" s="7">
        <v>19</v>
      </c>
      <c r="F20" s="7">
        <v>17</v>
      </c>
      <c r="G20" s="7">
        <v>323</v>
      </c>
    </row>
    <row r="21" spans="5:7">
      <c r="G21" s="1">
        <f>SUM(G4:G20)</f>
        <v>2442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8C55-1B2E-4D4E-A7E5-C115554DF7B7}">
  <dimension ref="E4:H11"/>
  <sheetViews>
    <sheetView tabSelected="1" workbookViewId="0">
      <selection activeCell="H18" sqref="H18"/>
    </sheetView>
  </sheetViews>
  <sheetFormatPr defaultRowHeight="14.4"/>
  <cols>
    <col min="5" max="5" width="18.33203125" customWidth="1"/>
    <col min="6" max="6" width="25.21875" customWidth="1"/>
    <col min="7" max="7" width="23.6640625" customWidth="1"/>
  </cols>
  <sheetData>
    <row r="4" spans="5:8">
      <c r="E4" s="12" t="s">
        <v>285</v>
      </c>
      <c r="F4" s="12" t="s">
        <v>286</v>
      </c>
      <c r="G4" t="s">
        <v>301</v>
      </c>
    </row>
    <row r="5" spans="5:8">
      <c r="E5" s="11" t="s">
        <v>287</v>
      </c>
      <c r="F5" s="10" t="s">
        <v>288</v>
      </c>
      <c r="G5" s="9">
        <f ca="1">TODAY()</f>
        <v>46037</v>
      </c>
    </row>
    <row r="6" spans="5:8">
      <c r="E6" s="11" t="s">
        <v>289</v>
      </c>
      <c r="F6" s="10" t="s">
        <v>290</v>
      </c>
      <c r="G6" s="13">
        <f ca="1">NOW()</f>
        <v>46037.39584513889</v>
      </c>
    </row>
    <row r="7" spans="5:8">
      <c r="E7" s="11" t="s">
        <v>291</v>
      </c>
      <c r="F7" s="10" t="s">
        <v>292</v>
      </c>
      <c r="G7" s="14">
        <f>DATE(2025,1,14)</f>
        <v>45671</v>
      </c>
    </row>
    <row r="8" spans="5:8">
      <c r="E8" s="11" t="s">
        <v>293</v>
      </c>
      <c r="F8" s="10" t="s">
        <v>294</v>
      </c>
      <c r="G8">
        <f ca="1">DAY(G5)</f>
        <v>15</v>
      </c>
    </row>
    <row r="9" spans="5:8">
      <c r="E9" s="11" t="s">
        <v>295</v>
      </c>
      <c r="F9" s="10" t="s">
        <v>296</v>
      </c>
      <c r="G9">
        <f ca="1">MONTH(G5)</f>
        <v>1</v>
      </c>
    </row>
    <row r="10" spans="5:8">
      <c r="E10" s="11" t="s">
        <v>297</v>
      </c>
      <c r="F10" s="10" t="s">
        <v>298</v>
      </c>
      <c r="G10">
        <f ca="1">YEAR(G5)</f>
        <v>2026</v>
      </c>
    </row>
    <row r="11" spans="5:8">
      <c r="E11" s="11" t="s">
        <v>299</v>
      </c>
      <c r="F11" s="10" t="s">
        <v>300</v>
      </c>
      <c r="G11">
        <f ca="1">WEEKDAY(G5,2)</f>
        <v>4</v>
      </c>
      <c r="H11">
        <f ca="1">WEEKDAY(G5)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SUBTOTAL</vt:lpstr>
      <vt:lpstr>SUMPRODUCT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2026-01-15T17:09:13Z</dcterms:created>
  <dcterms:modified xsi:type="dcterms:W3CDTF">2026-01-15T17:31:23Z</dcterms:modified>
</cp:coreProperties>
</file>